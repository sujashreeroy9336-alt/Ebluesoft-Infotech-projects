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Kairi/Downloads/"/>
    </mc:Choice>
  </mc:AlternateContent>
  <xr:revisionPtr revIDLastSave="0" documentId="13_ncr:1_{DBD540EC-1E90-FA4D-ABBA-10953E6C7647}" xr6:coauthVersionLast="47" xr6:coauthVersionMax="47" xr10:uidLastSave="{00000000-0000-0000-0000-000000000000}"/>
  <bookViews>
    <workbookView xWindow="0" yWindow="0" windowWidth="28800" windowHeight="18000" activeTab="5" xr2:uid="{A779D7A7-1097-8541-80D4-3240A8ADA5C4}"/>
  </bookViews>
  <sheets>
    <sheet name="App Development" sheetId="1" r:id="rId1"/>
    <sheet name="Digital Marketing" sheetId="2" r:id="rId2"/>
    <sheet name="Web Development" sheetId="3" r:id="rId3"/>
    <sheet name="Graphic Design" sheetId="4" r:id="rId4"/>
    <sheet name="SEO Optimization" sheetId="5" r:id="rId5"/>
    <sheet name="Scores" sheetId="6" r:id="rId6"/>
  </sheets>
  <definedNames>
    <definedName name="A0">'Digital Marketing'!$1:$1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7" i="6" l="1"/>
  <c r="J6" i="6"/>
  <c r="J5" i="6"/>
  <c r="J34" i="6"/>
  <c r="J30" i="6"/>
  <c r="J8" i="6"/>
  <c r="J31" i="6"/>
  <c r="J16" i="6"/>
  <c r="J9" i="6"/>
  <c r="J14" i="6"/>
  <c r="J35" i="6"/>
  <c r="J15" i="6"/>
  <c r="J48" i="6"/>
  <c r="J32" i="6"/>
  <c r="J21" i="6"/>
  <c r="J36" i="6"/>
  <c r="J10" i="6"/>
  <c r="J11" i="6"/>
  <c r="J4" i="6"/>
  <c r="J22" i="6"/>
  <c r="J23" i="6"/>
  <c r="J26" i="6"/>
  <c r="J50" i="6"/>
  <c r="J40" i="6"/>
  <c r="J53" i="6"/>
  <c r="J13" i="6"/>
  <c r="J17" i="6"/>
  <c r="J18" i="6"/>
  <c r="J37" i="6"/>
  <c r="J45" i="6"/>
  <c r="J46" i="6"/>
  <c r="J51" i="6"/>
  <c r="J24" i="6"/>
  <c r="J27" i="6"/>
  <c r="J28" i="6"/>
  <c r="J38" i="6"/>
  <c r="J47" i="6"/>
  <c r="J29" i="6"/>
  <c r="J54" i="6"/>
  <c r="J55" i="6"/>
  <c r="J43" i="6"/>
  <c r="J39" i="6"/>
  <c r="J52" i="6"/>
  <c r="J59" i="6"/>
  <c r="J12" i="6"/>
  <c r="J58" i="6"/>
  <c r="J19" i="6"/>
  <c r="J56" i="6"/>
  <c r="J41" i="6"/>
  <c r="J57" i="6"/>
  <c r="J42" i="6"/>
  <c r="J44" i="6"/>
  <c r="J25" i="6"/>
  <c r="J20" i="6"/>
  <c r="J49" i="6"/>
  <c r="J33" i="6"/>
</calcChain>
</file>

<file path=xl/sharedStrings.xml><?xml version="1.0" encoding="utf-8"?>
<sst xmlns="http://schemas.openxmlformats.org/spreadsheetml/2006/main" count="341" uniqueCount="250">
  <si>
    <t xml:space="preserve">Company Name </t>
  </si>
  <si>
    <t>Location</t>
  </si>
  <si>
    <t>Clients</t>
  </si>
  <si>
    <t>Industries</t>
  </si>
  <si>
    <t>Focus</t>
  </si>
  <si>
    <t>Konstant Infosolutions</t>
  </si>
  <si>
    <t>Jaipur, India</t>
  </si>
  <si>
    <t>Volkswagen, Nestlé, IEEE, Reliance Infrastructure, startups &amp; enterprises globally</t>
  </si>
  <si>
    <t>Healthcare, Real Estate, On-Demand, Enterprise, eCommerce</t>
  </si>
  <si>
    <t>Mobile App Development, AI-powered solutions, Enterprise Software, Digital Transformation</t>
  </si>
  <si>
    <t>Mass Software Solutions Private Limited</t>
  </si>
  <si>
    <t>Kolkata, India (New Town)</t>
  </si>
  <si>
    <t>Volkswagen, Nestlé, Eataly, Icahn School of Medicine, Reliance Infrastructure</t>
  </si>
  <si>
    <t>Healthcare, eCommerce, Enterprise, Education, Finance, Manufacturing</t>
  </si>
  <si>
    <t>Mobile app development (native + Flutter), AI/LLM integration, cloud infrastructure, digital transformation</t>
  </si>
  <si>
    <t>TechAhead Corp</t>
  </si>
  <si>
    <t>USA &amp; India (Noida/Delhi NCR)</t>
  </si>
  <si>
    <t>ICC, AXA, ESPN, Fortune 500 real estate firm, finance &amp; healthcare enterprises</t>
  </si>
  <si>
    <t>Healthcare, Fintech, Insurance, Sports, Education, Telecom, Real Estate, Manufacturing, Energy, Oil &amp; Gas</t>
  </si>
  <si>
    <t>Emizen Tech</t>
  </si>
  <si>
    <t>Jaipur, India &amp; Ajman, UAE</t>
  </si>
  <si>
    <t>Kia Georgia, Acadium, RiddyGolf, School Security First, various eCommerce &amp; logistics brands</t>
  </si>
  <si>
    <t>eCommerce, Retail, Automotive, Healthcare, Real Estate, Sports, Social/Dating, Logistics</t>
  </si>
  <si>
    <t>E-commerce (Magento/Shopify/WooCommerce) and mobile app development (iOS/Android/Flutter), with growing AI chatbot and IoT capabilities</t>
  </si>
  <si>
    <t>JPLoft</t>
  </si>
  <si>
    <t>Denver, USA &amp; Jaipur, India</t>
  </si>
  <si>
    <t>Nike, Red Bull, Whirlpool, NASA (via team member), Gleam, Kara Water, Radiance Travel</t>
  </si>
  <si>
    <t>Education, Retail, F&amp;B, Fintech, Travel, Automotive, Arts, Consulting</t>
  </si>
  <si>
    <t>Mobile &amp; web app development (native/Flutter/React Native), AI, Blockchain, SaaS, IoT, Game Development (AR/VR/NFT), CRM/Salesforce</t>
  </si>
  <si>
    <t>Noida, India</t>
  </si>
  <si>
    <t>Tata Consultancy Services (TCS)</t>
  </si>
  <si>
    <t>Mumbai, India</t>
  </si>
  <si>
    <t>Banking, Healthcare, Retail, Government sectors</t>
  </si>
  <si>
    <t>Banking, Healthcare, Retail, Government</t>
  </si>
  <si>
    <t>Enterprise-grade mobile application development, end-to-end digital transformation</t>
  </si>
  <si>
    <t>Indore, India</t>
  </si>
  <si>
    <t>Enterprise AI-native platforms &amp; agentic AI systems, custom software, mobile apps (iOS/Android), IoT/Edge intelligence, cloud modernization (AWS)</t>
  </si>
  <si>
    <t>Matrix Media Solutions (P) Ltd.</t>
  </si>
  <si>
    <t>Kolkata, India (Sector V)</t>
  </si>
  <si>
    <t>Soultrove India, Zuba LLC, Pisa World, MasterStroke, Privilege Technologies, NAS Freight Solutions, WBHIDCO Ltd. (govt), Gulluck</t>
  </si>
  <si>
    <t>Medical, eCommerce, Logistics, Government, Sports, Advertising, B2B SaaS</t>
  </si>
  <si>
    <t>The NineHertz</t>
  </si>
  <si>
    <t>Neo Thermal Insulation, Xponentium India, Zavepower, Lions Apple Inc (negative review), DRODE LLC, Cevaheer</t>
  </si>
  <si>
    <t>Manufacturing, Advertising/Marketing, Hospitality, Education, B2B, Enterprise</t>
  </si>
  <si>
    <t>Full-service digital agency (web/mobile dev, design, digital marketing, AI/ML, IoT) with strong Kolkata presence and dedicated team hiring model</t>
  </si>
  <si>
    <t>Enterprise-focused AI &amp; digital engineering (AI-driven platforms, predictive analytics, computer vision, Industry 4.0, cloud-native architecture), mobile &amp; web development, staff augmentation</t>
  </si>
  <si>
    <t>DianApps</t>
  </si>
  <si>
    <t>Jaipur, India (also Gurugram, Australia, USA)</t>
  </si>
  <si>
    <t>Uber Eats, Freshworks, CaratLane, Minimalist, Khatabook, APIAM, Thousand Greens</t>
  </si>
  <si>
    <t>Fintech, Healthcare, E-commerce, Gaming, Media, Advertising</t>
  </si>
  <si>
    <t>AI-first product development (mobile apps, custom software, Salesforce, UI/UX, staff augmentation), full digital product ecosystem from PoC to support</t>
  </si>
  <si>
    <t>Differenz System</t>
  </si>
  <si>
    <t xml:space="preserve"> Surat, India</t>
  </si>
  <si>
    <t>London Sport, Opinion, SickPredict App, CardCloudz, Universal Iron Doors</t>
  </si>
  <si>
    <t>Sports, Healthcare, SaaS, Manufacturing, Arts/Entertainment, Real Estate (implied)</t>
  </si>
  <si>
    <t>Custom web &amp; mobile app development (native iOS/Android), Salesforce consulting, CRM customization, wearable app development, healthcare tech</t>
  </si>
  <si>
    <t>EvenDigit</t>
  </si>
  <si>
    <t>Action Analysis, Incredible Love, Ruby Design, Journease, Felt and Yarn, NIVA Health, Automobile manufacturer</t>
  </si>
  <si>
    <t>eCommerce, Manufacturing, Healthcare, Automotive, Business Services, Contracting, Coaching</t>
  </si>
  <si>
    <t>Mavlers</t>
  </si>
  <si>
    <t>Ahmedabad, India</t>
  </si>
  <si>
    <t>Designer Apparel Rental Co, Dabao Singapore, Delivyr, TeraSky, Cloth &amp; Co., Birchman, Ecom Luxx, Ogilvy</t>
  </si>
  <si>
    <t>Retail, F&amp;B, IT, Hospitality, eCommerce, Fashion, Advertising/Marketing</t>
  </si>
  <si>
    <t>Visibility Gurus</t>
  </si>
  <si>
    <t>Mohali (Chandigarh), India</t>
  </si>
  <si>
    <t>FoodGrads, Kristal Clinic, Bilia Oy, Hismile, Coonan Property, HESS TIMBER, Letenda, VERALAB, Brasswater, Chi Chi London</t>
  </si>
  <si>
    <t>Food &amp; Beverage, Healthcare/Dental, Automotive, Retail, Real Estate, Construction, Cosmetics, Fashion</t>
  </si>
  <si>
    <t>Softtrix Tech Solutions</t>
  </si>
  <si>
    <t>Uniq Impression, Hospital Bed Rental Co, SOAR PR, BEYOND By Bea, Ashlinc Digital, Digital Guruz, Epitome Technologies, SeQuere Technologies, Instigo</t>
  </si>
  <si>
    <t>Advertising/Marketing, Medical, Retail, Business Consulting, IT Services, SaaS</t>
  </si>
  <si>
    <t>Gigde Global Solutions</t>
  </si>
  <si>
    <t>Noida, India (also Addison TX &amp; London)</t>
  </si>
  <si>
    <t>Dunkin Donuts, The Kraft Heinz Company, Ekalavya Hansaj Inc, McKinley Rice, Octonius, Zapit, Home&amp;We Limited</t>
  </si>
  <si>
    <t>Technical, Healthcare, Fintech, Crypto, AI, SaaS, B2B/B2C, CRM, Entertainment, E-commerce, E-Learning</t>
  </si>
  <si>
    <t>PageTraffic</t>
  </si>
  <si>
    <t xml:space="preserve">New Delhi &amp; Mumbai, India </t>
  </si>
  <si>
    <t>Medical Spa, Lifetime Activities, Gravy, Raise Commercial Real Estate, StruXure, Enterprise Lighting Sales, PAM JETS, Avionica, EverLights</t>
  </si>
  <si>
    <t>Fitness, Recreation, Financial Services, Real Estate, Manufacturing, Supply Chain, Aerospace, Electric</t>
  </si>
  <si>
    <t>Brandingnuts</t>
  </si>
  <si>
    <t>Hyderabad, India</t>
  </si>
  <si>
    <t>Megatron Overseas Consultants, BBG India, Unique Fancy Sarees, Travel U, Akkam Overseas, NCC Urban, Vedic Naturals, FindurHealth, United Educational Services, Amara Hospital</t>
  </si>
  <si>
    <t>Immigration, Real Estate, Retail, Travel, Business Services, Healthcare, Education, Organic Goods</t>
  </si>
  <si>
    <t>WebSpero Solutions</t>
  </si>
  <si>
    <t>Sahibzada Ajit Singh Nagar, India</t>
  </si>
  <si>
    <t>Healthy For Life Foods, Mint Dental Care, HOMEbloks, Biizy, Fiils Beauty Limited, Reach E-Shop, TimelyBills</t>
  </si>
  <si>
    <t>Transportation, Food &amp; Beverage, Retail, Sports, Dental/Healthcare, Real Estate (blockchain), Financial Services</t>
  </si>
  <si>
    <t>We4Digital</t>
  </si>
  <si>
    <t>OLF (food delivery), YoloBus (transportation), Lifechart (wellness platform), Global Study Abroad</t>
  </si>
  <si>
    <t>Food Delivery, Transportation, Wellness/Healthcare, Education</t>
  </si>
  <si>
    <t>Pixel Studios Pvt. Ltd.</t>
  </si>
  <si>
    <t>Chennai, India</t>
  </si>
  <si>
    <t>Onefluencer, Trivitron Healthcare, Animal Care Company, FinTech Company, A.G Diagnostics, Igarashi Motors, Dawn School</t>
  </si>
  <si>
    <t>Healthcare/Medical, Fintech, Animal Care, Education, Manufacturing, Retail, Hospitality/Leisure</t>
  </si>
  <si>
    <t>AI-first digital marketing (SEO, PPC, Google Ads, Meta Ads, social media, email marketing, video production, AI Search Optimization for ChatGPT/Perplexity), WordPress development</t>
  </si>
  <si>
    <t>AI-powered digital marketing &amp; web development (SEO, AI search/GEO for ChatGPT/Gemini, paid media, web design/dev, email marketing, CRM automation, analytics, conversion rate optimization)</t>
  </si>
  <si>
    <t>SEO &amp; local SEO for small businesses, white-label SEO for agencies, content marketing, Google Ads, social media marketing, website optimization</t>
  </si>
  <si>
    <t>PPC management &amp; digital marketing (SEO, social media, content, email, CRO, web design/dev, white-label SEO), with secondary focus on mobile app development</t>
  </si>
  <si>
    <t>Full-service digital marketing (social media, content writing, SEO, graphic design, copywriting, PPC, UI/UX, email marketing, PR) with startup/SMB focus</t>
  </si>
  <si>
    <t>SEO &amp; digital marketing (PPC, social media, content marketing, web design/dev) with strong focus on organic traffic growth and lead generation</t>
  </si>
  <si>
    <t>Digital marketing (SEO, social media marketing, PPC, content marketing, lead generation, website design) with strong focus on ROI and Hyderabad local market</t>
  </si>
  <si>
    <t>Digital marketing (SEO, PPC, social media, GEO/AI search) plus web &amp; app development (Gen-AI, MVP, blockchain), with strong focus on ROI and conversion improvement</t>
  </si>
  <si>
    <t>Digital marketing (SEO, SMO, Google Ads, PPC, content marketing, SMM, PR, CRO) with strong focus on UK/US/India/Australia/Canada/Europe markets</t>
  </si>
  <si>
    <t>Digital marketing (SEO, GEO, SMM, PPC, lead generation) + web design &amp; development (UI/UX, e-commerce, web apps, mobile apps, digital branding)</t>
  </si>
  <si>
    <t xml:space="preserve"> Aalpha Information Systems India Pvt. Ltd</t>
  </si>
  <si>
    <t>Bengaluru, India (also Hubballi &amp; New Delhi)</t>
  </si>
  <si>
    <t>World Bank, Securitas, SwissRe, Bosch &amp; Lomb, Texas Police Dept, Emaar, Zee5, Wurkr, Theglamhall, IMA, Pfanstiehl Inc., Fernox Ltd., Moneywellth LLC, Funding Insider Inc, EspoHub Inc</t>
  </si>
  <si>
    <t>Healthcare, Retail &amp; eCommerce, Travel &amp; Tourism, Education &amp; eLearning, Banking &amp; Finance, Logistics &amp; Transportation, Media &amp; Entertainment, Publishing &amp; Advertising, Automotive, Agritech, Food &amp; Beverage, Manufacturing, Engineering, Hospitality</t>
  </si>
  <si>
    <t>WPWeb Infotech</t>
  </si>
  <si>
    <t>15,000+ happy clients (clients use their WordPress/WooCommerce extensions globally), Start Web Solutions, Webfox, MMC Projects, ai9.co, Jigowatt, Christian Diehr Internet Services</t>
  </si>
  <si>
    <t>Automotive, Social, Telecom, Educational, Media, Finance, Event Management, eCommerce, Information Technology, Construction, Recruitment, AI</t>
  </si>
  <si>
    <t>Tridhya Tech Limited</t>
  </si>
  <si>
    <t>ORIX, Kotak Life, Mahindra, Tech Mahindra, Petronas, Peugeot, Birla Sun Life, Yaskawa, Tria, Badge Six, GetQuorum, Owl Timeclock, Bespohk, Netige, SKIVAK, Greenstor, Touchideas, Airquee Inflatables, Saicon, Plainly Legal</t>
  </si>
  <si>
    <t>financial services, insurance, automotive, energy, manufacturing, legal, retail, IT, renewable energy, advertising/marketing)</t>
  </si>
  <si>
    <t>MOBIKASA</t>
  </si>
  <si>
    <t>New Delhi, India</t>
  </si>
  <si>
    <t>The Fragrance Outlet, Bozeman Trailers, Automotive Products Manufacturer, Recktronic Devices and Systems, Performance Lifestyle Brand, Healthcare Services Provider, Architectural Firm, Fragrance Market, Pasture Provisions, Va Va Verve</t>
  </si>
  <si>
    <t>Retail, Automotive, eCommerce, Healthcare, Energy/Natural Resources, Food &amp; Beverage, Beauty, Manufacturing, Architecture</t>
  </si>
  <si>
    <t>Surat, India</t>
  </si>
  <si>
    <t>London Sport, Opinion, SickPredict App, CardCloudz, Universal Iron Doors, Software Company, Global Micro-Consulting Platform, Digital Innovation Agency</t>
  </si>
  <si>
    <t>Sports, Healthcare, SaaS, Manufacturing, Arts/Entertainment, Real Estate (implied), Financial Services, Technology</t>
  </si>
  <si>
    <t>Aubergine Solutions</t>
  </si>
  <si>
    <t>Bengaluru &amp; Ahmedabad, India</t>
  </si>
  <si>
    <t>Lanova AI, Heed AI Inc, Women's Wellness Retail Company, Opsera, SDSI, Just Edtech, Fourth Partner Energy, IP Management Platform, IT Company, TheRightOne</t>
  </si>
  <si>
    <t>Enterprise, FinTech, Education, Medical, Retail &amp; Ecommerce, Blockchain, HR, Healthcare &amp; Wellness, Learning Management Systems, AI, Renewable Energy, Consumer Products</t>
  </si>
  <si>
    <t>TatvaSoft</t>
  </si>
  <si>
    <t>Ahmedabad, India </t>
  </si>
  <si>
    <t>Recruitment Company, Car Service Management 360, No-Code SaaS Platform, Financial Services Company, Silwana Infotech, IT Company, Energy Efficient Group, Golf BioDynamics, Jewelry Software Company</t>
  </si>
  <si>
    <t>Fintech &amp; Insurance, Retail &amp; Ecommerce, Energy &amp; Utilities, Travel &amp; Hospitality, Media &amp; Entertainment, Automotive, Financial Services, Energy, Sports Technology, Jewelry</t>
  </si>
  <si>
    <t>Dotsquares</t>
  </si>
  <si>
    <t>London, England (also Australia &amp; Jaipur, India)</t>
  </si>
  <si>
    <t>Software Development Company, Vital Business (Accounting), Expert Witness Gateway (Legal), Luminous (Agency), The Script Craft, Think Renewable (Energy), Real Estate Company, Fmcg Markets, Temple University, Samuel Son &amp; Co (Manufacturing), W1 Analytics</t>
  </si>
  <si>
    <t>Travel &amp; Hospitality, Mortgage &amp; Lending, Finance, E-Learning &amp; Education, Real Estate, Media &amp; Entertainment, Food &amp; Beverage, Banking &amp; Payment, Oil &amp; Gas, Healthcare, Logistics, Automotive, Aviation, Publishing, Retail/FMCG, Energy &amp; Utilities, Sports, Construction, Fintech, Legal, Manufacturing</t>
  </si>
  <si>
    <t>Webskitters</t>
  </si>
  <si>
    <t>Kolkata,India</t>
  </si>
  <si>
    <t>CollabAway (Travel SaaS - negative review), Startup (Women's social app - negative review), Amaarshindook Jewelleries, The Big Giraffe, Treeline Digital Marketing, Play &amp; Talk LLC, Travian Games, Don't Tell Dad, MonetizeMore, Talk Think Do</t>
  </si>
  <si>
    <t>Travel, Retail, Gaming, Advertising/Marketing, Food &amp; Beverage, AdTech, Software</t>
  </si>
  <si>
    <t>AllianceTek</t>
  </si>
  <si>
    <t>Ahmedabad/Rajkot (India)</t>
  </si>
  <si>
    <t>Access Medical Laboratories, Personal Security &amp; E-Commerce Startup, ESGI (Consulting), WOWorks (Food Franchise), Combat Sales, Traq.ai, Furniture &amp; Home Furnishings Company, Sports Consulting Company, Mighty Toners (Office Equipment), SaaS Platform</t>
  </si>
  <si>
    <t xml:space="preserve"> Medical, Security/E-commerce, Consulting, Food &amp; Beverage, Sales/E-learning, Conversation Intelligence, Furniture/Home Furnishings, Sports, Retail, SaaS</t>
  </si>
  <si>
    <t>End-to-end software development (web, mobile, SaaS, eCommerce, MVP, cloud, blockchain, Web3, microservices) with strong AI capabilities (Generative AI, chatbots, ML, RPA, NLP, video analytics, ChatGPT apps), UI/UX design, DevOps consulting, data science</t>
  </si>
  <si>
    <t>Web &amp; mobile app development with strong specialization in WordPress, WooCommerce, PHP, Laravel, Shopify, Magento, React, Angular, Node.js, Drupal, Ruby on Rails, Flutter, iOS, Android; also offers UI/UX design, AI-powered design services, and has developed 100+ WordPress plugins/themes</t>
  </si>
  <si>
    <t>Web, custom software &amp; AI development (SaaS, eCommerce, B2B/B2C portals, ERP, data engineering &amp; analytics, cloud &amp; DevOps, legacy modernization) with enterprise credibility (NSE-listed, ISO 9001 &amp; 27001 certified, 600+ professionals)</t>
  </si>
  <si>
    <t>E-commerce development (Shopify, Magento, WooCommerce, BigCommerce, AEM) plus web/mobile apps, creative design, ADA compliance, SEO/SEM, AI/ML, staff augmentation, with global presence (NY, LA, London, Dubai, New Delhi)</t>
  </si>
  <si>
    <t>Custom web &amp; mobile app development (native iOS/Android), Salesforce consulting, CRM customization, wearable app development, AI development, with US headquarters (Los Angeles) and India development center in Surat</t>
  </si>
  <si>
    <t>UX/UI design + AI + product development consulting (end-to-end web, mobile, enterprise apps), with strong design credentials (Red Dot Award, UX Design Awards, Great Place to Work) and expertise in Django, Python, Node.js, Angular, React, Vue, Flutter, React Native, Apple Watch, Alexa Skills</t>
  </si>
  <si>
    <t>Custom software development (web, mobile, AI/ML, cloud &amp; DevOps, eCommerce, software testing &amp; QA, UI/UX) with CMMI Level 3 and Microsoft Solutions Partner status, 1,350+ IT professionals, 1,800+ projects, 810+ global clients, 90% retention rate, 25+ years experience</t>
  </si>
  <si>
    <t>Full-stack IT services (web &amp; app development, custom software, CRM consulting - Salesforce Summit Platinum/HubSpot Platinum/Zoho Premium, digital marketing, game development - Unreal/Unity/AR/VR, cloud solutions) with 24+ years experience, 1,000+ employees, 27,000+ projects, 18,500+ clients, "Very Low Risk" credit rating</t>
  </si>
  <si>
    <t>End-to-end digital transformation &amp; AI solutions (web/mobile app development, AI/ML (agents, RAG, LLM fine-tuning, NLP, computer vision, predictive intelligence), SaaS, enterprise software, game development, IoT, blockchain, cloud-native systems, DevOps, eCommerce) with 800+ employees, 8,000+ projects, 1,500+ clients, National Award (Govt of India), Forbes Select 200, ISO 9001 &amp; 27001 certified</t>
  </si>
  <si>
    <t>Enterprise web &amp; AI for digital transformation (web/mobile app development, Salesforce, Business Process Automation, Business Intelligence, eCommerce, CRM, Enterprise Content Management, Legacy Modernization, Power Platform) with 18+ years experience, 580+ projects, 110+ IT professionals, 9+ global locations, "Very Low Risk" credit rating</t>
  </si>
  <si>
    <t>WEB INDIA SOLUTIONS</t>
  </si>
  <si>
    <t>Kochi, India</t>
  </si>
  <si>
    <t>Medibliss Tours (Medical Travel), Maths Learning Hub (Education), VIVO Kerala (Telecom), Aspire Institute of Management Studies (Education), JB Metal Crafts (Arts), Mud &amp; Clay (Retail), Hotel Aida (Hospitality), Incuspace (Real Estate/Co-working), Terracrafts</t>
  </si>
  <si>
    <t>Education, Telecommunications, Medical Travel, Hospitality, Arts/Crafts, Retail, Real Estate, Manufacturing (implied)</t>
  </si>
  <si>
    <t>MotionGility</t>
  </si>
  <si>
    <t>Aditya Birla, HDFC Life, Nissan, Portfolio+, InVideo, Hindustan Unilever, PineLabs, Adnaut.digital, E-commerce Startup, Software Company, Finbots AI, Mercados Energy Markets, E-learning Startup, OneCricket Fantasy, LeapWide, Graffersid, Conlangio Labs</t>
  </si>
  <si>
    <t>Advertising/Marketing, eCommerce, Software, Fintech, Energy, Education, Sports, IT, Banking, SaaS, AI</t>
  </si>
  <si>
    <t>Seller Drive Global</t>
  </si>
  <si>
    <t>Nagpur, India</t>
  </si>
  <si>
    <t>IMPHEX (Food Retail), eCommGlobe LLC (Women's Pajamas), Beauty &amp; Cosmetics Company, Stock Depot LLC (E-commerce Retail), E-commerce Company, Adora Organics (Supplements), Electrical Supply Company, Wholesale Craft Outlet, The Original Granite Bracket (Manufacturing), ArchAngel Farms (Nonprofit)</t>
  </si>
  <si>
    <t>eCommerce, Food &amp; Beverage, Beauty/Cosmetics, Retail, Supplements/Health, Electrical/Manufacturing, Nonprofit, Fashion</t>
  </si>
  <si>
    <t>152Co.</t>
  </si>
  <si>
    <t>Misk Khushbu (Perfume Manufacturing), HerKey (Career Community), Luxury Escapades (Travel), Productivity Solutions Company, Darwinbox (SaaS), PoiseCode (IT Services), Mental Health Service, Bric Finserv (Financial Services), Info Edge India (Recruitment), BFI (Conservation Foundation)</t>
  </si>
  <si>
    <t>Perfume/Manufacturing, IT/Tech, SaaS, Travel/Hospitality, Financial Services, Mental Health/Healthcare, Recruitment, Conservation/Nonprofit, Business Services</t>
  </si>
  <si>
    <t>TIKDI Creative Agency</t>
  </si>
  <si>
    <t>Pune, India</t>
  </si>
  <si>
    <t>Automattic (Web Publishing), Smart Home Security Products Company, Days For Clothing (Streetwear), rtCamp (IT), NO BS (Health &amp; Fitness), FITTR (Health &amp; Fitness Platform)</t>
  </si>
  <si>
    <t>Business Services, Consumer Products, IT/Technology, Food &amp; Beverage, Fitness/Health</t>
  </si>
  <si>
    <t>Sellryt</t>
  </si>
  <si>
    <t>Flairdeck (Talent Networking), Growth Hackers Digital Media (Performance Marketing), Seller Consultants Firm, Amazon Seller (Online Retail), R.K. Industries-IV (Garment Exporter), Cart.com (Brand Services)</t>
  </si>
  <si>
    <t>Retail/E-commerce, Advertising/Marketing, Business Services, Manufacturing, Talent Networking</t>
  </si>
  <si>
    <t>SimplePlan Media</t>
  </si>
  <si>
    <t>reacHIRE (HR Services), Puddles Swim School (Education), EMB Global (Digital Transformation), Pharos (Marketing Agency), Men's Clothing Retailer, Gravette (Electronics), Grateful Earth (E-commerce), Paddy Compare (Insurance), The Cobenefits Organization (Nonprofit), Online Learning Platform</t>
  </si>
  <si>
    <t>Business Services, Education, Digital Transformation, Advertising/Marketing, Retail/E-commerce, Electronics, Insurance, Nonprofit</t>
  </si>
  <si>
    <t>Addict2Web - A Shopify Plus Agency</t>
  </si>
  <si>
    <t>SmartTek Solutions (Software), Ikaa Apparels (Women's Clothing), Elder Younger Studios (Branding/Production), Merchandising Company, Fine Jewelry Brand, Consulting Firm, SVP House (Bridal Jewelry), Lumen Vitae (Skin Care), Educational Institution</t>
  </si>
  <si>
    <t>Retail/E-commerce, Software, Advertising/Marketing, Consulting, Jewelry, Beauty/Skincare, Education</t>
  </si>
  <si>
    <t>WeeTech Solution Pvt Ltd</t>
  </si>
  <si>
    <t>WorkTime (Employee Monitoring), CertifyMe (Digital Certificates), Vital Health Concepts (Wellness), Immobel (Real Estate PropTech), Link-Building Agency, Suitable For Ltd (Delivery Platform), REVIVE (Project Management), Cyndx (Fintech)</t>
  </si>
  <si>
    <t>Software, EdTech, Wellness/Healthcare, Real Estate/PropTech, Advertising/Marketing, Food Delivery, Business Services, Financial Services</t>
  </si>
  <si>
    <t>Tasks Expert - A Virtual Assistant Company</t>
  </si>
  <si>
    <t>Kalyan (Mumbai), India</t>
  </si>
  <si>
    <t>Qonto (Financial Solutions), Radisson Hotel Group (Hospitality), PGC Legal (Law Firm), Papier Ltd (Stationery), Skyline Enterprises (Tourism), Resene (Paint Manufacturer), Tigerblocks (Management), Greenoaks (Investment), Verico (Mortgage), Article Ten (Creative Agency)</t>
  </si>
  <si>
    <t>Financial Services, Hospitality, Legal, Consumer Products, Tourism, Manufacturing, Real Estate/Management, Investment, Mortgage, Advertising/Marketing</t>
  </si>
  <si>
    <t>Web development &amp; digital marketing (web design/dev, branding, SEO, social media marketing, PPC, Google Ads, graphic design, video creation, local marketing, reputation management) with 17+ years experience, based in Kochi, Kerala</t>
  </si>
  <si>
    <t>Technology-driven marketing &amp; video production (explainer videos, branding videos, motion graphics, product introduction videos, SaaS/AI tech video production) with ROI-driven approach, 50-249 employees, named enterprise clients (Aditya Birla, HDFC Life, Nissan, Hindustan Unilever), minimum project size </t>
  </si>
  <si>
    <t>Full-service digital commerce agency specializing in Amazon, Shopify, Walmart, TikTok (product listing optimization, A+ content, PPC, graphic design, store setup, influencer marketing, global expansion across US/India/Europe/Middle East), with 10+ years experience, 39+ brands scaled, 39% average sales growth</t>
  </si>
  <si>
    <t>Branding &amp; graphic design (branding, packaging design, logo design, graphic design, corporate profile decks, marketing collateral, social media graphics, presentations, event design, diversity/inclusivity reports) with 10-49 employees, minimum project size </t>
  </si>
  <si>
    <t>Creative agency specializing in video production (brand films, commercial, podcasts, social media content, explainer videos, event coverage), branding &amp; graphic design (logo, packaging, 2D/3D/motion, UI/UX for web/mobile), and social media content creation with 2-9 employees, hourly rate $25-49/hr, founded 2019, serving clients like Automattic and FITTR</t>
  </si>
  <si>
    <t>Amazon-focused e-commerce &amp; PPC agency (Amazon Advertising Partner, Sponsored Ads, PPC campaigns, listing optimization, store optimization, content writing, social media marketing, graphic design, catalog management, data processing) with 8+ years experience, 50-249 employees, 95%+ client retention, hourly rate under $25, serving primarily US market</t>
  </si>
  <si>
    <t>Branding, web design &amp; development, digital marketing (UI/UX, e-commerce development, SEO, social media marketing, graphic design, logo design, packaging, content creation, PR) with 120+ brands launched, 100M+ revenue moved, 20+ awards won, minimum project size </t>
  </si>
  <si>
    <t>Shopify Plus e-commerce agency (Shopify store design/development, Magento/WooCommerce/WordPress development, mobile apps (iOS/Android), SEO &amp; digital marketing, UI/UX design, graphic design &amp; branding, strategy) with 550+ Shopify stores delivered, clients include Real Madrid, PADI, UFC, minimum project size </t>
  </si>
  <si>
    <t>Full-stack software development &amp; QA (mobile apps - iOS/Android/Tizen/Flutter/React Native, web development - Java/PHP/Node.js, e-commerce, product prototyping, graphic design, quality assurance) with 13+ years experience, 150+ skilled experts, 2,300+ projects, 1,511+ clients, 24/7 support, minimum project size </t>
  </si>
  <si>
    <t>Virtual assistant &amp; outsourcing services (administrative support, email/calendar management, data entry, social media assistance, online research, customer support, file organization, travel booking, invoice management, basic content creation, CRM management, project tracking, AI chatbot development, custom software, web design/dev, market research, lead generation, accounting outsourcing) with 250-999 employees, 24/7 services, rates starting $4.5/hr, founded 2017, serving global clients (USA-based company with India delivery center)</t>
  </si>
  <si>
    <t>SEO Valley</t>
  </si>
  <si>
    <t>HCL Technologies, InterContinental Hotels Group, Zuari Cement, QAD, 3CIR Pty Ltd, TicketsRoundTheWorld, Power Marketing LLC</t>
  </si>
  <si>
    <t>Manufacturing, Retail, E-commerce, Technology, Industrial, Finance, Hospitality, Travel, Cement</t>
  </si>
  <si>
    <t>SEO Experts Company India (SECI)</t>
  </si>
  <si>
    <t>Coreo Real Estate, Retail Company, Workplace Solutions Firm, Heterochem (Raw Material Supplier), SaaS Data Backup Company, Public Desire (Fashion/Footwear), Jun's Dubai (Restaurant), Residential Developer, Vetster (Veterinary Telehealth), v2food (Plant-Based Meat)</t>
  </si>
  <si>
    <t>Real Estate, Retail, Workplace Solutions, Raw Materials, SaaS, Fashion/Footwear, Food &amp; Beverage/Restaurant, Veterinary/Healthcare, Plant-Based Food</t>
  </si>
  <si>
    <t>Incrementors</t>
  </si>
  <si>
    <t>Delhi &amp; Patna, India</t>
  </si>
  <si>
    <t>AER Club Dubai (Nightlife), Digital Marketing Agency (LA), Divine Elements CBD, Majestic Wins Adventures (Travel), Stowers Real Estate, Infithra (IT), Agency Squid (Marketing), Backbone Digital (Marketing), Proctor360 (Software), Smart Reach Marketing (MarTech)</t>
  </si>
  <si>
    <t>Arts/Entertainment, Advertising/Marketing, Consumer Products (CBD), Travel, Real Estate, IT/Software, MarTech, Business Services</t>
  </si>
  <si>
    <t>eSearch Logix</t>
  </si>
  <si>
    <t>Price Self Storage (Self-Storage), UniCrest Accounting (Accounting), Avega Solutions (IT Consulting), Indus Valley Organic (Grocery), Grey Ghost Cigars (Cigar Lounge), Global Trackers (GPS Tracking), Caregiving Company, Ali Bin Khalifa Alhitmi &amp; Co. (Automotive), Ingrid Arna (Business Coach), Marketing Company</t>
  </si>
  <si>
    <t>Real Estate, Financial Services, IT/Tech, eCommerce/Retail, Hospitality/Leisure, GPS/Navigation, Healthcare/Caregiving, Automotive, Advertising/Marketing</t>
  </si>
  <si>
    <t>Digital marketing &amp; web development agency (SEO, AIO - Artificial Intelligence Optimization for LLMs, PPC, link building, online reputation management, web design, mobile app development, UI/UX) with 10+ years experience, 50-249 employees, 100+ certified professionals, own SEO toolkit (RanksPro.io), Premier Google Partner, transparent SEO packages (</t>
  </si>
  <si>
    <t>IndeedSEO</t>
  </si>
  <si>
    <t>Seotonic Web Solutions Pvt Ltd</t>
  </si>
  <si>
    <t>Bhopal, India</t>
  </si>
  <si>
    <t>XONIK Technoliges (AI Research), Digital Marketing Agency (Canada), Element Earth CBD, United Better Home (Windows), Axle Systems (IT), Aesthetica (Clinic), Discover Financial Services, Drata (Software), Cycle &amp; Carriage (Automotive), Broc Finance</t>
  </si>
  <si>
    <t>Information Technology, Advertising/Marketing, CBD/Retail, Utilities/Home Services, Beauty/Healthcare, Financial Services, Software, Automotive</t>
  </si>
  <si>
    <t>Mohali, India</t>
  </si>
  <si>
    <t>Dbs businessmen services, Corporate Rentals (Furniture Rental), Codeyoung (Education - negative review), Surveying Solutions Provider, Event Planning Agency, Aashakiran Hospital (Fertility), Michael Tinnon &amp; Associates (Real Estate), HFA Society (Healthcare), Backyard Valley Tea (Tea), Fashion Brand (negative review), Seerion Technologies (IT)</t>
  </si>
  <si>
    <t>Business Services, Consumer Products, Education, Manufacturing, Events/Planning, Healthcare, Real Estate, Food &amp; Beverage, Fashion, IT/Tech</t>
  </si>
  <si>
    <t>Tanot Solutions</t>
  </si>
  <si>
    <t>Jodhpur, India</t>
  </si>
  <si>
    <t>DigitalOcean (IT), SaaS Company, Linkbuilder.io (SEO Agency), Gaming Company, SEO Agency, Employee Management Company, Digital Marketing Agency, Resume Builder Software Company</t>
  </si>
  <si>
    <t>Information Technology, SaaS, Advertising/Marketing, Gaming, Business Services, HR/Employee Management</t>
  </si>
  <si>
    <t>W3era Web Technology Pvt Ltd</t>
  </si>
  <si>
    <t>Betmate (Social Betting/Gaming), Moonshot Art (Video Game Studio), Latitude 36 Foods, Æolus Digital (Agency), Tight Clinic (Medical), Cinema Cubic (Digital Solutions), Insta Bio Pro (Agency), its Better This World (IT Services), Guest Blog (Agency), WLS LTD (Retail)</t>
  </si>
  <si>
    <t>Gaming, Food/Beverage, Advertising/Marketing, Medical/Healthcare, Arts/Entertainment, IT Services, Retail</t>
  </si>
  <si>
    <t>Pure-play SEO agency (technical SEO, on-page SEO, off-page SEO/link building, keyword research, SEO audit, analytics/reporting) with 15+ years experience, 50+ in-house specialists, 101+ Clutch reviews, "Top 3 Positions Guaranteed" claim, transparent SEO packages (</t>
  </si>
  <si>
    <t>AI SEO &amp; conversion-focused digital marketing agency (SEO, AI SEO for ChatGPT/Gemini/Perplexity, conversion optimization, PPC, SMM, content marketing, web design/dev (WordPress), AI agents/workflow automation) with 13+ years experience, 50-249 employees, 183+ Clutch reviews, generated </t>
  </si>
  <si>
    <t>SEO &amp; digital marketing agency (SEO, PPC, social media marketing, online reputation management, content writing, link building, AI SEO, GEO - Generative Engine Optimization, AEO - Answer Engine Optimization) with 10+ years experience, 150+ professionals, 1,000+ satisfied clients, 500K+ leads generated, 100K+ keywords ranked, 98% on-time delivery, Premier Google Partner, recognized by Clutch, SEMrush, GoodFirms, The Hindu, The Manifest</t>
  </si>
  <si>
    <t>SEO &amp; GEO (Generative Engine Optimization) agency with 20+ years experience, 108 in-house team members, 1,099 active clients, 9,590 campaigns handled, serving 59 countries, 21,793 top 10 rankings achieved last month, 109+ awards, focus on results-oriented SEO/GEO that drives leads and sales (not just rankings), with dedicated R&amp;D on Google &amp; AI engine updates</t>
  </si>
  <si>
    <t>AI-powered SEO agency (SEO - technical/local/enterprise/ecommerce, PPC, SMM, content marketing, link building, AI SEO/GEO/AEO) with 20+ years experience (since 2005), 10-49 employees, 3,000+ clients, 100+ industries served, transparent SEO packages (</t>
  </si>
  <si>
    <t>Specialized SEO &amp; link building agency (high-authority backlinks, guest posting, link insertions, technical SEO, AI SEO/GEO/AEO, local SEO, SaaS SEO, content marketing) with 11+ years experience, 150+ brands served, 5,000+ links delivered, 98% client satisfaction, unique differentiators: no upfront payment (pay only for live links), client approves every link before placement, 1-year guarantee on links, transparent monthly packages (</t>
  </si>
  <si>
    <t>Search Engine Marketing (SEM) agency (SEO - technical/local/enterprise/ecommerce, PPC - Google Ads/shopping/display/video/remarketing, link building, landing page design &amp; CRO, content marketing) with 15+ years experience, 250-999 employees, 10,000+ clients served, Google-certified experts, owns W3era Academy (SEO/PPC training institute in Jaipur), transparent SEO packages (</t>
  </si>
  <si>
    <t>Company</t>
  </si>
  <si>
    <t>Digital</t>
  </si>
  <si>
    <t>SEO</t>
  </si>
  <si>
    <t>Client Strength</t>
  </si>
  <si>
    <t>Experience</t>
  </si>
  <si>
    <t>AI Solutions</t>
  </si>
  <si>
    <t>Hyperlink InfoSystem</t>
  </si>
  <si>
    <t>Appinentiv</t>
  </si>
  <si>
    <t>Infosys</t>
  </si>
  <si>
    <t>OrangeMantra</t>
  </si>
  <si>
    <t>Social Beat</t>
  </si>
  <si>
    <t>iprospect</t>
  </si>
  <si>
    <t>Schbang</t>
  </si>
  <si>
    <t xml:space="preserve">Techmagnate </t>
  </si>
  <si>
    <t>Web Development</t>
  </si>
  <si>
    <t>App Development</t>
  </si>
  <si>
    <t>Graphic Design</t>
  </si>
  <si>
    <t xml:space="preserve">   SCORES FROM 1 TO 5</t>
  </si>
  <si>
    <t>Ebluesoft Infotech</t>
  </si>
  <si>
    <t>Final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</si>
</sst>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sz val="14"/>
      <color theme="1"/>
      <name val="Calibri Light"/>
      <family val="2"/>
      <scheme val="major"/>
    </font>
    <font>
      <sz val="14"/>
      <color rgb="FF0F1115"/>
      <name val="Calibri Light"/>
      <family val="2"/>
      <scheme val="major"/>
    </font>
    <font>
      <u/>
      <sz val="12"/>
      <color theme="10"/>
      <name val="Calibri"/>
      <family val="2"/>
      <scheme val="minor"/>
    </font>
    <font>
      <sz val="16"/>
      <color theme="1"/>
      <name val="Calibri"/>
      <family val="2"/>
      <scheme val="minor"/>
    </font>
    <font>
      <b/>
      <sz val="24"/>
      <color theme="1"/>
      <name val="Academy Engraved LET Plain:1.0"/>
    </font>
    <font>
      <sz val="18"/>
      <color theme="1"/>
      <name val="American Typewriter"/>
      <family val="1"/>
    </font>
    <font>
      <sz val="16"/>
      <color rgb="FF0F1115"/>
      <name val="Calibri Light"/>
      <family val="2"/>
      <scheme val="major"/>
    </font>
    <font>
      <sz val="16"/>
      <color theme="1"/>
      <name val="Calibri Light"/>
      <family val="2"/>
      <scheme val="maj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1" applyFont="1" applyAlignment="1">
      <alignment horizontal="center" vertical="center" wrapText="1"/>
    </xf>
    <xf numFmtId="0" fontId="4"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vertical="center" wrapText="1"/>
    </xf>
    <xf numFmtId="0" fontId="8"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traq.ai/" TargetMode="External"/><Relationship Id="rId1" Type="http://schemas.openxmlformats.org/officeDocument/2006/relationships/hyperlink" Target="https://ai9.c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art.com/"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linkbuilder.io/" TargetMode="External"/><Relationship Id="rId1" Type="http://schemas.openxmlformats.org/officeDocument/2006/relationships/hyperlink" Target="https://rankspro.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25698-7666-C842-A401-88C680982E90}">
  <dimension ref="A1:E11"/>
  <sheetViews>
    <sheetView zoomScaleNormal="100" workbookViewId="0">
      <selection sqref="A1:XFD1048576"/>
    </sheetView>
  </sheetViews>
  <sheetFormatPr baseColWidth="10" defaultRowHeight="19"/>
  <cols>
    <col min="1" max="1" width="25.5" style="1" bestFit="1" customWidth="1"/>
    <col min="2" max="2" width="26.6640625" style="1" bestFit="1" customWidth="1"/>
    <col min="3" max="3" width="43.5" style="1" bestFit="1" customWidth="1"/>
    <col min="4" max="4" width="40" style="1" customWidth="1"/>
    <col min="5" max="5" width="67.1640625" style="1" bestFit="1" customWidth="1"/>
    <col min="6" max="16384" width="10.83203125" style="1"/>
  </cols>
  <sheetData>
    <row r="1" spans="1:5" ht="20">
      <c r="A1" s="1" t="s">
        <v>0</v>
      </c>
      <c r="B1" s="1" t="s">
        <v>1</v>
      </c>
      <c r="C1" s="1" t="s">
        <v>2</v>
      </c>
      <c r="D1" s="1" t="s">
        <v>3</v>
      </c>
      <c r="E1" s="1" t="s">
        <v>4</v>
      </c>
    </row>
    <row r="2" spans="1:5" ht="60">
      <c r="A2" s="1" t="s">
        <v>5</v>
      </c>
      <c r="B2" s="1" t="s">
        <v>6</v>
      </c>
      <c r="C2" s="1" t="s">
        <v>7</v>
      </c>
      <c r="D2" s="1" t="s">
        <v>8</v>
      </c>
      <c r="E2" s="1" t="s">
        <v>9</v>
      </c>
    </row>
    <row r="3" spans="1:5" ht="40">
      <c r="A3" s="1" t="s">
        <v>10</v>
      </c>
      <c r="B3" s="2" t="s">
        <v>11</v>
      </c>
      <c r="C3" s="2" t="s">
        <v>12</v>
      </c>
      <c r="D3" s="2" t="s">
        <v>13</v>
      </c>
      <c r="E3" s="1" t="s">
        <v>14</v>
      </c>
    </row>
    <row r="4" spans="1:5" ht="60">
      <c r="A4" s="1" t="s">
        <v>15</v>
      </c>
      <c r="B4" s="2" t="s">
        <v>16</v>
      </c>
      <c r="C4" s="1" t="s">
        <v>17</v>
      </c>
      <c r="D4" s="2" t="s">
        <v>18</v>
      </c>
      <c r="E4" s="2" t="s">
        <v>36</v>
      </c>
    </row>
    <row r="5" spans="1:5" ht="60">
      <c r="A5" s="1" t="s">
        <v>19</v>
      </c>
      <c r="B5" s="2" t="s">
        <v>20</v>
      </c>
      <c r="C5" s="2" t="s">
        <v>21</v>
      </c>
      <c r="D5" s="2" t="s">
        <v>22</v>
      </c>
      <c r="E5" s="2" t="s">
        <v>23</v>
      </c>
    </row>
    <row r="6" spans="1:5" ht="60">
      <c r="A6" s="1" t="s">
        <v>24</v>
      </c>
      <c r="B6" s="2" t="s">
        <v>25</v>
      </c>
      <c r="C6" s="2" t="s">
        <v>26</v>
      </c>
      <c r="D6" s="2" t="s">
        <v>27</v>
      </c>
      <c r="E6" s="2" t="s">
        <v>28</v>
      </c>
    </row>
    <row r="7" spans="1:5" ht="40">
      <c r="A7" s="1" t="s">
        <v>30</v>
      </c>
      <c r="B7" s="2" t="s">
        <v>31</v>
      </c>
      <c r="C7" s="2" t="s">
        <v>32</v>
      </c>
      <c r="D7" s="2" t="s">
        <v>33</v>
      </c>
      <c r="E7" s="2" t="s">
        <v>34</v>
      </c>
    </row>
    <row r="8" spans="1:5" ht="60">
      <c r="A8" s="2" t="s">
        <v>46</v>
      </c>
      <c r="B8" s="2" t="s">
        <v>47</v>
      </c>
      <c r="C8" s="2" t="s">
        <v>48</v>
      </c>
      <c r="D8" s="2" t="s">
        <v>49</v>
      </c>
      <c r="E8" s="2" t="s">
        <v>50</v>
      </c>
    </row>
    <row r="9" spans="1:5" ht="80">
      <c r="A9" s="2" t="s">
        <v>37</v>
      </c>
      <c r="B9" s="2" t="s">
        <v>38</v>
      </c>
      <c r="C9" s="2" t="s">
        <v>39</v>
      </c>
      <c r="D9" s="2" t="s">
        <v>40</v>
      </c>
      <c r="E9" s="2" t="s">
        <v>44</v>
      </c>
    </row>
    <row r="10" spans="1:5" ht="60">
      <c r="A10" s="2" t="s">
        <v>41</v>
      </c>
      <c r="B10" s="2" t="s">
        <v>6</v>
      </c>
      <c r="C10" s="2" t="s">
        <v>42</v>
      </c>
      <c r="D10" s="2" t="s">
        <v>43</v>
      </c>
      <c r="E10" s="2" t="s">
        <v>45</v>
      </c>
    </row>
    <row r="11" spans="1:5" ht="60">
      <c r="A11" s="2" t="s">
        <v>51</v>
      </c>
      <c r="B11" s="2" t="s">
        <v>52</v>
      </c>
      <c r="C11" s="2" t="s">
        <v>53</v>
      </c>
      <c r="D11" s="2" t="s">
        <v>54</v>
      </c>
      <c r="E11" s="2" t="s">
        <v>55</v>
      </c>
    </row>
  </sheetData>
  <pageMargins left="0.7" right="0.7" top="0.75" bottom="0.75" header="0.3" footer="0.3"/>
  <pageSetup paperSize="9" orientation="portrait" horizontalDpi="0" verticalDpi="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16C64-B913-5949-9F40-86CA8015172C}">
  <dimension ref="A1:E11"/>
  <sheetViews>
    <sheetView workbookViewId="0">
      <selection activeCell="A3" sqref="A3"/>
    </sheetView>
  </sheetViews>
  <sheetFormatPr baseColWidth="10" defaultRowHeight="19"/>
  <cols>
    <col min="1" max="1" width="29.33203125" style="1" customWidth="1"/>
    <col min="2" max="2" width="20.6640625" style="1" customWidth="1"/>
    <col min="3" max="3" width="54" style="1" customWidth="1"/>
    <col min="4" max="4" width="50.5" style="1" customWidth="1"/>
    <col min="5" max="5" width="67" style="1" customWidth="1"/>
    <col min="6" max="16384" width="10.83203125" style="1"/>
  </cols>
  <sheetData>
    <row r="1" spans="1:5" s="7" customFormat="1" ht="53" customHeight="1">
      <c r="A1" s="7" t="s">
        <v>0</v>
      </c>
      <c r="B1" s="7" t="s">
        <v>1</v>
      </c>
      <c r="C1" s="7" t="s">
        <v>2</v>
      </c>
      <c r="D1" s="7" t="s">
        <v>3</v>
      </c>
      <c r="E1" s="7" t="s">
        <v>4</v>
      </c>
    </row>
    <row r="2" spans="1:5" ht="60">
      <c r="A2" s="2" t="s">
        <v>56</v>
      </c>
      <c r="B2" s="2" t="s">
        <v>35</v>
      </c>
      <c r="C2" s="2" t="s">
        <v>57</v>
      </c>
      <c r="D2" s="2" t="s">
        <v>58</v>
      </c>
      <c r="E2" s="2" t="s">
        <v>93</v>
      </c>
    </row>
    <row r="3" spans="1:5" ht="60">
      <c r="A3" s="2" t="s">
        <v>59</v>
      </c>
      <c r="B3" s="2" t="s">
        <v>60</v>
      </c>
      <c r="C3" s="2" t="s">
        <v>61</v>
      </c>
      <c r="D3" s="2" t="s">
        <v>62</v>
      </c>
      <c r="E3" s="2" t="s">
        <v>94</v>
      </c>
    </row>
    <row r="4" spans="1:5" ht="60">
      <c r="A4" s="2" t="s">
        <v>63</v>
      </c>
      <c r="B4" s="2" t="s">
        <v>64</v>
      </c>
      <c r="C4" s="2" t="s">
        <v>65</v>
      </c>
      <c r="D4" s="2" t="s">
        <v>66</v>
      </c>
      <c r="E4" s="2" t="s">
        <v>95</v>
      </c>
    </row>
    <row r="5" spans="1:5" ht="60">
      <c r="A5" s="2" t="s">
        <v>67</v>
      </c>
      <c r="B5" s="2" t="s">
        <v>83</v>
      </c>
      <c r="C5" s="2" t="s">
        <v>68</v>
      </c>
      <c r="D5" s="2" t="s">
        <v>69</v>
      </c>
      <c r="E5" s="2" t="s">
        <v>96</v>
      </c>
    </row>
    <row r="6" spans="1:5" ht="60">
      <c r="A6" s="2" t="s">
        <v>70</v>
      </c>
      <c r="B6" s="2" t="s">
        <v>71</v>
      </c>
      <c r="C6" s="2" t="s">
        <v>72</v>
      </c>
      <c r="D6" s="2" t="s">
        <v>73</v>
      </c>
      <c r="E6" s="2" t="s">
        <v>97</v>
      </c>
    </row>
    <row r="7" spans="1:5" ht="60">
      <c r="A7" s="2" t="s">
        <v>74</v>
      </c>
      <c r="B7" s="2" t="s">
        <v>75</v>
      </c>
      <c r="C7" s="2" t="s">
        <v>76</v>
      </c>
      <c r="D7" s="2" t="s">
        <v>77</v>
      </c>
      <c r="E7" s="2" t="s">
        <v>98</v>
      </c>
    </row>
    <row r="8" spans="1:5" ht="80">
      <c r="A8" s="2" t="s">
        <v>78</v>
      </c>
      <c r="B8" s="2" t="s">
        <v>79</v>
      </c>
      <c r="C8" s="2" t="s">
        <v>80</v>
      </c>
      <c r="D8" s="2" t="s">
        <v>81</v>
      </c>
      <c r="E8" s="2" t="s">
        <v>99</v>
      </c>
    </row>
    <row r="9" spans="1:5" ht="60">
      <c r="A9" s="2" t="s">
        <v>82</v>
      </c>
      <c r="B9" s="2" t="s">
        <v>83</v>
      </c>
      <c r="C9" s="2" t="s">
        <v>84</v>
      </c>
      <c r="D9" s="2" t="s">
        <v>85</v>
      </c>
      <c r="E9" s="2" t="s">
        <v>100</v>
      </c>
    </row>
    <row r="10" spans="1:5" ht="60">
      <c r="A10" s="2" t="s">
        <v>86</v>
      </c>
      <c r="B10" s="2" t="s">
        <v>29</v>
      </c>
      <c r="C10" s="2" t="s">
        <v>87</v>
      </c>
      <c r="D10" s="2" t="s">
        <v>88</v>
      </c>
      <c r="E10" s="2" t="s">
        <v>101</v>
      </c>
    </row>
    <row r="11" spans="1:5" ht="60">
      <c r="A11" s="2" t="s">
        <v>89</v>
      </c>
      <c r="B11" s="2" t="s">
        <v>90</v>
      </c>
      <c r="C11" s="2" t="s">
        <v>91</v>
      </c>
      <c r="D11" s="2" t="s">
        <v>92</v>
      </c>
      <c r="E11" s="2"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A3D3-98B5-AA4E-824D-137CA38AF074}">
  <dimension ref="A1:E11"/>
  <sheetViews>
    <sheetView workbookViewId="0">
      <selection sqref="A1:XFD1"/>
    </sheetView>
  </sheetViews>
  <sheetFormatPr baseColWidth="10" defaultRowHeight="19"/>
  <cols>
    <col min="1" max="1" width="28.83203125" style="1" customWidth="1"/>
    <col min="2" max="2" width="25.83203125" style="1" bestFit="1" customWidth="1"/>
    <col min="3" max="3" width="60.6640625" style="1" customWidth="1"/>
    <col min="4" max="4" width="57.1640625" style="1" bestFit="1" customWidth="1"/>
    <col min="5" max="5" width="55.33203125" style="1" bestFit="1" customWidth="1"/>
    <col min="6" max="16384" width="10.83203125" style="1"/>
  </cols>
  <sheetData>
    <row r="1" spans="1:5" s="7" customFormat="1" ht="41" customHeight="1">
      <c r="A1" s="7" t="s">
        <v>0</v>
      </c>
      <c r="B1" s="7" t="s">
        <v>1</v>
      </c>
      <c r="C1" s="7" t="s">
        <v>2</v>
      </c>
      <c r="D1" s="7" t="s">
        <v>3</v>
      </c>
      <c r="E1" s="7" t="s">
        <v>4</v>
      </c>
    </row>
    <row r="2" spans="1:5" ht="107" customHeight="1">
      <c r="A2" s="1" t="s">
        <v>103</v>
      </c>
      <c r="B2" s="2" t="s">
        <v>104</v>
      </c>
      <c r="C2" s="2" t="s">
        <v>105</v>
      </c>
      <c r="D2" s="2" t="s">
        <v>106</v>
      </c>
      <c r="E2" s="2" t="s">
        <v>140</v>
      </c>
    </row>
    <row r="3" spans="1:5" ht="156" customHeight="1">
      <c r="A3" s="2" t="s">
        <v>107</v>
      </c>
      <c r="B3" s="2" t="s">
        <v>60</v>
      </c>
      <c r="C3" s="3" t="s">
        <v>108</v>
      </c>
      <c r="D3" s="2" t="s">
        <v>109</v>
      </c>
      <c r="E3" s="2" t="s">
        <v>141</v>
      </c>
    </row>
    <row r="4" spans="1:5" ht="111" customHeight="1">
      <c r="A4" s="2" t="s">
        <v>110</v>
      </c>
      <c r="B4" s="2" t="s">
        <v>60</v>
      </c>
      <c r="C4" s="2" t="s">
        <v>111</v>
      </c>
      <c r="D4" s="2" t="s">
        <v>112</v>
      </c>
      <c r="E4" s="2" t="s">
        <v>142</v>
      </c>
    </row>
    <row r="5" spans="1:5" ht="137" customHeight="1">
      <c r="A5" s="2" t="s">
        <v>113</v>
      </c>
      <c r="B5" s="2" t="s">
        <v>114</v>
      </c>
      <c r="C5" s="2" t="s">
        <v>115</v>
      </c>
      <c r="D5" s="2" t="s">
        <v>116</v>
      </c>
      <c r="E5" s="2" t="s">
        <v>143</v>
      </c>
    </row>
    <row r="6" spans="1:5" ht="117" customHeight="1">
      <c r="A6" s="2" t="s">
        <v>51</v>
      </c>
      <c r="B6" s="2" t="s">
        <v>117</v>
      </c>
      <c r="C6" s="2" t="s">
        <v>118</v>
      </c>
      <c r="D6" s="2" t="s">
        <v>119</v>
      </c>
      <c r="E6" s="2" t="s">
        <v>144</v>
      </c>
    </row>
    <row r="7" spans="1:5" ht="152" customHeight="1">
      <c r="A7" s="2" t="s">
        <v>120</v>
      </c>
      <c r="B7" s="2" t="s">
        <v>121</v>
      </c>
      <c r="C7" s="2" t="s">
        <v>122</v>
      </c>
      <c r="D7" s="2" t="s">
        <v>123</v>
      </c>
      <c r="E7" s="2" t="s">
        <v>145</v>
      </c>
    </row>
    <row r="8" spans="1:5" ht="158" customHeight="1">
      <c r="A8" s="2" t="s">
        <v>124</v>
      </c>
      <c r="B8" s="2" t="s">
        <v>125</v>
      </c>
      <c r="C8" s="2" t="s">
        <v>126</v>
      </c>
      <c r="D8" s="2" t="s">
        <v>127</v>
      </c>
      <c r="E8" s="2" t="s">
        <v>146</v>
      </c>
    </row>
    <row r="9" spans="1:5" ht="140">
      <c r="A9" s="2" t="s">
        <v>128</v>
      </c>
      <c r="B9" s="2" t="s">
        <v>129</v>
      </c>
      <c r="C9" s="2" t="s">
        <v>130</v>
      </c>
      <c r="D9" s="2" t="s">
        <v>131</v>
      </c>
      <c r="E9" s="2" t="s">
        <v>147</v>
      </c>
    </row>
    <row r="10" spans="1:5" ht="160">
      <c r="A10" s="2" t="s">
        <v>132</v>
      </c>
      <c r="B10" s="2" t="s">
        <v>133</v>
      </c>
      <c r="C10" s="2" t="s">
        <v>134</v>
      </c>
      <c r="D10" s="2" t="s">
        <v>135</v>
      </c>
      <c r="E10" s="2" t="s">
        <v>148</v>
      </c>
    </row>
    <row r="11" spans="1:5" ht="160">
      <c r="A11" s="2" t="s">
        <v>136</v>
      </c>
      <c r="B11" s="2" t="s">
        <v>137</v>
      </c>
      <c r="C11" s="3" t="s">
        <v>138</v>
      </c>
      <c r="D11" s="2" t="s">
        <v>139</v>
      </c>
      <c r="E11" s="2" t="s">
        <v>149</v>
      </c>
    </row>
  </sheetData>
  <hyperlinks>
    <hyperlink ref="C3" r:id="rId1" display="https://ai9.co/" xr:uid="{7CACE17A-5841-574F-BDA0-4280FE95F2EF}"/>
    <hyperlink ref="C11" r:id="rId2" display="https://traq.ai/" xr:uid="{A209D7FA-5499-5C49-94C7-9D4284DBAF1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7AA14-E6FD-A443-A07C-57FA8C281FB4}">
  <dimension ref="A1:E11"/>
  <sheetViews>
    <sheetView workbookViewId="0">
      <selection sqref="A1:XFD1"/>
    </sheetView>
  </sheetViews>
  <sheetFormatPr baseColWidth="10" defaultRowHeight="19"/>
  <cols>
    <col min="1" max="1" width="27.1640625" style="1" customWidth="1"/>
    <col min="2" max="2" width="22.83203125" style="1" bestFit="1" customWidth="1"/>
    <col min="3" max="3" width="72.6640625" style="1" customWidth="1"/>
    <col min="4" max="4" width="62.33203125" style="1" bestFit="1" customWidth="1"/>
    <col min="5" max="5" width="53.1640625" style="1" bestFit="1" customWidth="1"/>
    <col min="6" max="16384" width="10.83203125" style="1"/>
  </cols>
  <sheetData>
    <row r="1" spans="1:5" s="7" customFormat="1" ht="25">
      <c r="A1" s="7" t="s">
        <v>0</v>
      </c>
      <c r="B1" s="7" t="s">
        <v>1</v>
      </c>
      <c r="C1" s="7" t="s">
        <v>2</v>
      </c>
      <c r="D1" s="7" t="s">
        <v>3</v>
      </c>
      <c r="E1" s="7" t="s">
        <v>4</v>
      </c>
    </row>
    <row r="2" spans="1:5" ht="100">
      <c r="A2" s="1" t="s">
        <v>150</v>
      </c>
      <c r="B2" s="1" t="s">
        <v>151</v>
      </c>
      <c r="C2" s="1" t="s">
        <v>152</v>
      </c>
      <c r="D2" s="1" t="s">
        <v>153</v>
      </c>
      <c r="E2" s="1" t="s">
        <v>184</v>
      </c>
    </row>
    <row r="3" spans="1:5" ht="140">
      <c r="A3" s="1" t="s">
        <v>154</v>
      </c>
      <c r="B3" s="1" t="s">
        <v>35</v>
      </c>
      <c r="C3" s="1" t="s">
        <v>155</v>
      </c>
      <c r="D3" s="1" t="s">
        <v>156</v>
      </c>
      <c r="E3" s="1" t="s">
        <v>185</v>
      </c>
    </row>
    <row r="4" spans="1:5" ht="140">
      <c r="A4" s="1" t="s">
        <v>157</v>
      </c>
      <c r="B4" s="1" t="s">
        <v>158</v>
      </c>
      <c r="C4" s="1" t="s">
        <v>159</v>
      </c>
      <c r="D4" s="1" t="s">
        <v>160</v>
      </c>
      <c r="E4" s="1" t="s">
        <v>186</v>
      </c>
    </row>
    <row r="5" spans="1:5" ht="100">
      <c r="A5" s="1" t="s">
        <v>161</v>
      </c>
      <c r="B5" s="1" t="s">
        <v>31</v>
      </c>
      <c r="C5" s="1" t="s">
        <v>162</v>
      </c>
      <c r="D5" s="1" t="s">
        <v>163</v>
      </c>
      <c r="E5" s="1" t="s">
        <v>187</v>
      </c>
    </row>
    <row r="6" spans="1:5" ht="160">
      <c r="A6" s="1" t="s">
        <v>164</v>
      </c>
      <c r="B6" s="1" t="s">
        <v>165</v>
      </c>
      <c r="C6" s="1" t="s">
        <v>166</v>
      </c>
      <c r="D6" s="1" t="s">
        <v>167</v>
      </c>
      <c r="E6" s="1" t="s">
        <v>188</v>
      </c>
    </row>
    <row r="7" spans="1:5" ht="140">
      <c r="A7" s="1" t="s">
        <v>168</v>
      </c>
      <c r="B7" s="1" t="s">
        <v>29</v>
      </c>
      <c r="C7" s="3" t="s">
        <v>169</v>
      </c>
      <c r="D7" s="1" t="s">
        <v>170</v>
      </c>
      <c r="E7" s="1" t="s">
        <v>189</v>
      </c>
    </row>
    <row r="8" spans="1:5" ht="120">
      <c r="A8" s="1" t="s">
        <v>171</v>
      </c>
      <c r="B8" s="1" t="s">
        <v>114</v>
      </c>
      <c r="C8" s="1" t="s">
        <v>172</v>
      </c>
      <c r="D8" s="1" t="s">
        <v>173</v>
      </c>
      <c r="E8" s="1" t="s">
        <v>190</v>
      </c>
    </row>
    <row r="9" spans="1:5" ht="140">
      <c r="A9" s="1" t="s">
        <v>174</v>
      </c>
      <c r="B9" s="1" t="s">
        <v>60</v>
      </c>
      <c r="C9" s="1" t="s">
        <v>175</v>
      </c>
      <c r="D9" s="1" t="s">
        <v>176</v>
      </c>
      <c r="E9" s="1" t="s">
        <v>191</v>
      </c>
    </row>
    <row r="10" spans="1:5" ht="140">
      <c r="A10" s="1" t="s">
        <v>177</v>
      </c>
      <c r="B10" s="1" t="s">
        <v>117</v>
      </c>
      <c r="C10" s="1" t="s">
        <v>178</v>
      </c>
      <c r="D10" s="1" t="s">
        <v>179</v>
      </c>
      <c r="E10" s="1" t="s">
        <v>192</v>
      </c>
    </row>
    <row r="11" spans="1:5" ht="240">
      <c r="A11" s="1" t="s">
        <v>180</v>
      </c>
      <c r="B11" s="1" t="s">
        <v>181</v>
      </c>
      <c r="C11" s="1" t="s">
        <v>182</v>
      </c>
      <c r="D11" s="1" t="s">
        <v>183</v>
      </c>
      <c r="E11" s="1" t="s">
        <v>193</v>
      </c>
    </row>
  </sheetData>
  <hyperlinks>
    <hyperlink ref="C7" r:id="rId1" display="https://cart.com/" xr:uid="{224BA7BD-6A3C-AE49-A859-C755E4758C6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696FB-EEF6-F743-9966-34F24A8D76C3}">
  <dimension ref="A1:E11"/>
  <sheetViews>
    <sheetView workbookViewId="0">
      <selection sqref="A1:XFD1"/>
    </sheetView>
  </sheetViews>
  <sheetFormatPr baseColWidth="10" defaultRowHeight="19"/>
  <cols>
    <col min="1" max="1" width="29.83203125" style="1" customWidth="1"/>
    <col min="2" max="2" width="30" style="1" customWidth="1"/>
    <col min="3" max="3" width="55.1640625" style="1" customWidth="1"/>
    <col min="4" max="4" width="57" style="1" customWidth="1"/>
    <col min="5" max="5" width="58.5" style="1" customWidth="1"/>
    <col min="6" max="16384" width="10.83203125" style="1"/>
  </cols>
  <sheetData>
    <row r="1" spans="1:5" s="7" customFormat="1" ht="42" customHeight="1">
      <c r="A1" s="7" t="s">
        <v>0</v>
      </c>
      <c r="B1" s="7" t="s">
        <v>1</v>
      </c>
      <c r="C1" s="7" t="s">
        <v>2</v>
      </c>
      <c r="D1" s="7" t="s">
        <v>3</v>
      </c>
      <c r="E1" s="7" t="s">
        <v>4</v>
      </c>
    </row>
    <row r="2" spans="1:5" ht="100">
      <c r="A2" s="1" t="s">
        <v>197</v>
      </c>
      <c r="B2" s="1" t="s">
        <v>83</v>
      </c>
      <c r="C2" s="1" t="s">
        <v>198</v>
      </c>
      <c r="D2" s="1" t="s">
        <v>199</v>
      </c>
      <c r="E2" s="1" t="s">
        <v>223</v>
      </c>
    </row>
    <row r="3" spans="1:5" ht="80">
      <c r="A3" s="1" t="s">
        <v>82</v>
      </c>
      <c r="B3" s="1" t="s">
        <v>83</v>
      </c>
      <c r="C3" s="1" t="s">
        <v>84</v>
      </c>
      <c r="D3" s="1" t="s">
        <v>85</v>
      </c>
      <c r="E3" s="1" t="s">
        <v>100</v>
      </c>
    </row>
    <row r="4" spans="1:5" ht="120">
      <c r="A4" s="1" t="s">
        <v>200</v>
      </c>
      <c r="B4" s="1" t="s">
        <v>201</v>
      </c>
      <c r="C4" s="1" t="s">
        <v>202</v>
      </c>
      <c r="D4" s="1" t="s">
        <v>203</v>
      </c>
      <c r="E4" s="1" t="s">
        <v>224</v>
      </c>
    </row>
    <row r="5" spans="1:5" ht="140">
      <c r="A5" s="1" t="s">
        <v>204</v>
      </c>
      <c r="B5" s="1" t="s">
        <v>29</v>
      </c>
      <c r="C5" s="1" t="s">
        <v>205</v>
      </c>
      <c r="D5" s="1" t="s">
        <v>206</v>
      </c>
      <c r="E5" s="3" t="s">
        <v>207</v>
      </c>
    </row>
    <row r="6" spans="1:5" ht="160">
      <c r="A6" s="1" t="s">
        <v>208</v>
      </c>
      <c r="B6" s="1" t="s">
        <v>213</v>
      </c>
      <c r="C6" s="1" t="s">
        <v>214</v>
      </c>
      <c r="D6" s="1" t="s">
        <v>215</v>
      </c>
      <c r="E6" s="1" t="s">
        <v>225</v>
      </c>
    </row>
    <row r="7" spans="1:5" ht="60">
      <c r="A7" s="1" t="s">
        <v>74</v>
      </c>
      <c r="B7" s="1" t="s">
        <v>75</v>
      </c>
      <c r="C7" s="1" t="s">
        <v>76</v>
      </c>
      <c r="D7" s="1" t="s">
        <v>77</v>
      </c>
      <c r="E7" s="1" t="s">
        <v>98</v>
      </c>
    </row>
    <row r="8" spans="1:5" ht="140">
      <c r="A8" s="1" t="s">
        <v>194</v>
      </c>
      <c r="C8" s="1" t="s">
        <v>195</v>
      </c>
      <c r="D8" s="1" t="s">
        <v>196</v>
      </c>
      <c r="E8" s="1" t="s">
        <v>226</v>
      </c>
    </row>
    <row r="9" spans="1:5" ht="100">
      <c r="A9" s="1" t="s">
        <v>209</v>
      </c>
      <c r="B9" s="1" t="s">
        <v>210</v>
      </c>
      <c r="C9" s="1" t="s">
        <v>211</v>
      </c>
      <c r="D9" s="1" t="s">
        <v>212</v>
      </c>
      <c r="E9" s="1" t="s">
        <v>227</v>
      </c>
    </row>
    <row r="10" spans="1:5" ht="160">
      <c r="A10" s="1" t="s">
        <v>216</v>
      </c>
      <c r="B10" s="1" t="s">
        <v>217</v>
      </c>
      <c r="C10" s="3" t="s">
        <v>218</v>
      </c>
      <c r="D10" s="1" t="s">
        <v>219</v>
      </c>
      <c r="E10" s="1" t="s">
        <v>228</v>
      </c>
    </row>
    <row r="11" spans="1:5" ht="160">
      <c r="A11" s="1" t="s">
        <v>220</v>
      </c>
      <c r="B11" s="1" t="s">
        <v>6</v>
      </c>
      <c r="C11" s="1" t="s">
        <v>221</v>
      </c>
      <c r="D11" s="1" t="s">
        <v>222</v>
      </c>
      <c r="E11" s="1" t="s">
        <v>229</v>
      </c>
    </row>
  </sheetData>
  <hyperlinks>
    <hyperlink ref="E5" r:id="rId1" display="https://rankspro.io/" xr:uid="{B9D9AA35-F3F1-9449-AFA0-A378E0EA03D5}"/>
    <hyperlink ref="C10" r:id="rId2" display="https://linkbuilder.io/" xr:uid="{7D0A82BA-70DA-2441-8F3F-9AAD36E070C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43A0D-E562-B94D-998F-2B5B99AAA9E4}">
  <dimension ref="A1:J59"/>
  <sheetViews>
    <sheetView tabSelected="1" zoomScaleNormal="100" workbookViewId="0">
      <selection activeCell="J4" sqref="J4"/>
    </sheetView>
  </sheetViews>
  <sheetFormatPr baseColWidth="10" defaultRowHeight="41" customHeight="1"/>
  <cols>
    <col min="1" max="1" width="23.6640625" style="5" customWidth="1"/>
    <col min="2" max="2" width="13.6640625" style="5" customWidth="1"/>
    <col min="3" max="3" width="19.33203125" style="5" customWidth="1"/>
    <col min="4" max="4" width="10.5" style="5" customWidth="1"/>
    <col min="5" max="5" width="28.33203125" style="5" bestFit="1" customWidth="1"/>
    <col min="6" max="6" width="28" style="5" bestFit="1" customWidth="1"/>
    <col min="7" max="7" width="24" style="5" bestFit="1" customWidth="1"/>
    <col min="8" max="8" width="23.83203125" style="5" bestFit="1" customWidth="1"/>
    <col min="9" max="9" width="18.1640625" style="5" bestFit="1" customWidth="1"/>
    <col min="10" max="10" width="22.83203125" style="5" customWidth="1"/>
    <col min="11" max="16384" width="10.83203125" style="5"/>
  </cols>
  <sheetData>
    <row r="1" spans="1:10" s="4" customFormat="1" ht="41" customHeight="1">
      <c r="D1" s="6" t="s">
        <v>247</v>
      </c>
      <c r="E1" s="6"/>
      <c r="F1" s="6"/>
      <c r="G1" s="6"/>
    </row>
    <row r="3" spans="1:10" s="8" customFormat="1" ht="41" customHeight="1">
      <c r="A3" s="8" t="s">
        <v>230</v>
      </c>
      <c r="B3" s="8" t="s">
        <v>231</v>
      </c>
      <c r="C3" s="8" t="s">
        <v>235</v>
      </c>
      <c r="D3" s="8" t="s">
        <v>232</v>
      </c>
      <c r="E3" s="8" t="s">
        <v>244</v>
      </c>
      <c r="F3" s="8" t="s">
        <v>245</v>
      </c>
      <c r="G3" s="8" t="s">
        <v>246</v>
      </c>
      <c r="H3" s="8" t="s">
        <v>233</v>
      </c>
      <c r="I3" s="8" t="s">
        <v>234</v>
      </c>
      <c r="J3" s="8" t="s">
        <v>249</v>
      </c>
    </row>
    <row r="4" spans="1:10" ht="41" customHeight="1">
      <c r="A4" s="10" t="s">
        <v>15</v>
      </c>
      <c r="B4" s="4">
        <v>4</v>
      </c>
      <c r="C4" s="4">
        <v>5</v>
      </c>
      <c r="D4" s="4">
        <v>5</v>
      </c>
      <c r="E4" s="4">
        <v>5</v>
      </c>
      <c r="F4" s="4">
        <v>5</v>
      </c>
      <c r="G4" s="4">
        <v>5</v>
      </c>
      <c r="H4" s="4">
        <v>5</v>
      </c>
      <c r="I4" s="4">
        <v>4</v>
      </c>
      <c r="J4" s="5">
        <f>VALUE(2*0.15+C4*0.15+D4*0.15+E4*0.15+F4*0.15+G4*0.15+H4*0.125+I4*0.125)</f>
        <v>5.1749999999999998</v>
      </c>
    </row>
    <row r="5" spans="1:10" ht="41" customHeight="1">
      <c r="A5" s="9" t="s">
        <v>128</v>
      </c>
      <c r="B5" s="4">
        <v>5</v>
      </c>
      <c r="C5" s="4">
        <v>5</v>
      </c>
      <c r="D5" s="4">
        <v>5</v>
      </c>
      <c r="E5" s="4">
        <v>5</v>
      </c>
      <c r="F5" s="4">
        <v>5</v>
      </c>
      <c r="G5" s="4">
        <v>4</v>
      </c>
      <c r="H5" s="4">
        <v>5</v>
      </c>
      <c r="I5" s="4">
        <v>5</v>
      </c>
      <c r="J5" s="5">
        <f>VALUE(2*0.15+C5*0.15+D5*0.15+E5*0.15+F5*0.15+G5*0.15+H5*0.125+I5*0.125)</f>
        <v>5.15</v>
      </c>
    </row>
    <row r="6" spans="1:10" ht="41" customHeight="1">
      <c r="A6" s="9" t="s">
        <v>120</v>
      </c>
      <c r="B6" s="4">
        <v>4</v>
      </c>
      <c r="C6" s="4">
        <v>5</v>
      </c>
      <c r="D6" s="4">
        <v>4</v>
      </c>
      <c r="E6" s="4">
        <v>5</v>
      </c>
      <c r="F6" s="4">
        <v>5</v>
      </c>
      <c r="G6" s="4">
        <v>5</v>
      </c>
      <c r="H6" s="4">
        <v>5</v>
      </c>
      <c r="I6" s="4">
        <v>4</v>
      </c>
      <c r="J6" s="5">
        <f>VALUE(2*0.15+C6*0.15+D6*0.15+E6*0.15+F6*0.15+G6*0.15+H6*0.125+I6*0.125)</f>
        <v>5.0250000000000004</v>
      </c>
    </row>
    <row r="7" spans="1:10" ht="41" customHeight="1">
      <c r="A7" s="10" t="s">
        <v>237</v>
      </c>
      <c r="B7" s="4">
        <v>3</v>
      </c>
      <c r="C7" s="4">
        <v>5</v>
      </c>
      <c r="D7" s="4">
        <v>4</v>
      </c>
      <c r="E7" s="4">
        <v>5</v>
      </c>
      <c r="F7" s="4">
        <v>5</v>
      </c>
      <c r="G7" s="4">
        <v>4</v>
      </c>
      <c r="H7" s="4">
        <v>5</v>
      </c>
      <c r="I7" s="4">
        <v>5</v>
      </c>
      <c r="J7" s="5">
        <f>VALUE(2*0.15+C7*0.15+D7*0.15+E7*0.15+F7*0.15+G7*0.15+H7*0.125+I7*0.125)</f>
        <v>5</v>
      </c>
    </row>
    <row r="8" spans="1:10" ht="41" customHeight="1">
      <c r="A8" s="10" t="s">
        <v>238</v>
      </c>
      <c r="B8" s="4">
        <v>3</v>
      </c>
      <c r="C8" s="4">
        <v>5</v>
      </c>
      <c r="D8" s="4">
        <v>5</v>
      </c>
      <c r="E8" s="4">
        <v>5</v>
      </c>
      <c r="F8" s="4">
        <v>5</v>
      </c>
      <c r="G8" s="4">
        <v>3</v>
      </c>
      <c r="H8" s="4">
        <v>5</v>
      </c>
      <c r="I8" s="4">
        <v>5</v>
      </c>
      <c r="J8" s="5">
        <f>VALUE(2*0.15+C8*0.15+D8*0.15+E8*0.15+F8*0.15+G8*0.15+H8*0.125+I8*0.125)</f>
        <v>5</v>
      </c>
    </row>
    <row r="9" spans="1:10" ht="41" customHeight="1">
      <c r="A9" s="9" t="s">
        <v>113</v>
      </c>
      <c r="B9" s="4">
        <v>4</v>
      </c>
      <c r="C9" s="4">
        <v>4</v>
      </c>
      <c r="D9" s="4">
        <v>4</v>
      </c>
      <c r="E9" s="4">
        <v>5</v>
      </c>
      <c r="F9" s="4">
        <v>5</v>
      </c>
      <c r="G9" s="4">
        <v>5</v>
      </c>
      <c r="H9" s="4">
        <v>5</v>
      </c>
      <c r="I9" s="4">
        <v>5</v>
      </c>
      <c r="J9" s="5">
        <f>VALUE(2*0.15+C9*0.15+D9*0.15+E9*0.15+F9*0.15+G9*0.15+H9*0.125+I9*0.125)</f>
        <v>5</v>
      </c>
    </row>
    <row r="10" spans="1:10" ht="41" customHeight="1">
      <c r="A10" s="10" t="s">
        <v>30</v>
      </c>
      <c r="B10" s="4">
        <v>3</v>
      </c>
      <c r="C10" s="4">
        <v>5</v>
      </c>
      <c r="D10" s="4">
        <v>5</v>
      </c>
      <c r="E10" s="4">
        <v>5</v>
      </c>
      <c r="F10" s="4">
        <v>5</v>
      </c>
      <c r="G10" s="4">
        <v>3</v>
      </c>
      <c r="H10" s="4">
        <v>5</v>
      </c>
      <c r="I10" s="4">
        <v>5</v>
      </c>
      <c r="J10" s="5">
        <f>VALUE(2*0.15+C10*0.15+D10*0.15+E10*0.15+F10*0.15+G10*0.15+H10*0.125+I10*0.125)</f>
        <v>5</v>
      </c>
    </row>
    <row r="11" spans="1:10" ht="41" customHeight="1">
      <c r="A11" s="9" t="s">
        <v>124</v>
      </c>
      <c r="B11" s="4">
        <v>4</v>
      </c>
      <c r="C11" s="4">
        <v>5</v>
      </c>
      <c r="D11" s="4">
        <v>4</v>
      </c>
      <c r="E11" s="4">
        <v>5</v>
      </c>
      <c r="F11" s="4">
        <v>5</v>
      </c>
      <c r="G11" s="4">
        <v>4</v>
      </c>
      <c r="H11" s="4">
        <v>5</v>
      </c>
      <c r="I11" s="4">
        <v>5</v>
      </c>
      <c r="J11" s="5">
        <f>VALUE(2*0.15+C11*0.15+D11*0.15+E11*0.15+F11*0.15+G11*0.15+H11*0.125+I11*0.125)</f>
        <v>5</v>
      </c>
    </row>
    <row r="12" spans="1:10" ht="41" customHeight="1">
      <c r="A12" s="9" t="s">
        <v>41</v>
      </c>
      <c r="B12" s="4">
        <v>4</v>
      </c>
      <c r="C12" s="4">
        <v>5</v>
      </c>
      <c r="D12" s="4">
        <v>5</v>
      </c>
      <c r="E12" s="4">
        <v>5</v>
      </c>
      <c r="F12" s="4">
        <v>5</v>
      </c>
      <c r="G12" s="4">
        <v>4</v>
      </c>
      <c r="H12" s="4">
        <v>4</v>
      </c>
      <c r="I12" s="4">
        <v>4</v>
      </c>
      <c r="J12" s="5">
        <f>VALUE(2*0.15+C12*0.15+D12*0.15+E12*0.15+F12*0.15+G12*0.15+H12*0.125+I12*0.125)</f>
        <v>4.9000000000000004</v>
      </c>
    </row>
    <row r="13" spans="1:10" ht="41" customHeight="1">
      <c r="A13" s="9" t="s">
        <v>46</v>
      </c>
      <c r="B13" s="4">
        <v>4</v>
      </c>
      <c r="C13" s="4">
        <v>4</v>
      </c>
      <c r="D13" s="4">
        <v>5</v>
      </c>
      <c r="E13" s="4">
        <v>5</v>
      </c>
      <c r="F13" s="4">
        <v>5</v>
      </c>
      <c r="G13" s="4">
        <v>5</v>
      </c>
      <c r="H13" s="4">
        <v>4</v>
      </c>
      <c r="I13" s="4">
        <v>3</v>
      </c>
      <c r="J13" s="5">
        <f>VALUE(2*0.15+C13*0.15+D13*0.15+E13*0.15+F13*0.15+G13*0.15+H13*0.125+I13*0.125)</f>
        <v>4.7750000000000004</v>
      </c>
    </row>
    <row r="14" spans="1:10" ht="41" customHeight="1">
      <c r="A14" s="10" t="s">
        <v>239</v>
      </c>
      <c r="B14" s="4">
        <v>4</v>
      </c>
      <c r="C14" s="4">
        <v>4</v>
      </c>
      <c r="D14" s="4">
        <v>4</v>
      </c>
      <c r="E14" s="4">
        <v>5</v>
      </c>
      <c r="F14" s="4">
        <v>5</v>
      </c>
      <c r="G14" s="4">
        <v>3</v>
      </c>
      <c r="H14" s="4">
        <v>5</v>
      </c>
      <c r="I14" s="4">
        <v>5</v>
      </c>
      <c r="J14" s="5">
        <f>VALUE(2*0.15+C14*0.15+D14*0.15+E14*0.15+F14*0.15+G14*0.15+H14*0.125+I14*0.125)</f>
        <v>4.7</v>
      </c>
    </row>
    <row r="15" spans="1:10" ht="41" customHeight="1">
      <c r="A15" s="10" t="s">
        <v>242</v>
      </c>
      <c r="B15" s="4">
        <v>5</v>
      </c>
      <c r="C15" s="4">
        <v>4</v>
      </c>
      <c r="D15" s="4">
        <v>5</v>
      </c>
      <c r="E15" s="4">
        <v>4</v>
      </c>
      <c r="F15" s="4">
        <v>3</v>
      </c>
      <c r="G15" s="4">
        <v>5</v>
      </c>
      <c r="H15" s="4">
        <v>5</v>
      </c>
      <c r="I15" s="4">
        <v>5</v>
      </c>
      <c r="J15" s="5">
        <f>VALUE(2*0.15+C15*0.15+D15*0.15+E15*0.15+F15*0.15+G15*0.15+H15*0.125+I15*0.125)</f>
        <v>4.7</v>
      </c>
    </row>
    <row r="16" spans="1:10" ht="41" customHeight="1">
      <c r="A16" s="10" t="s">
        <v>5</v>
      </c>
      <c r="B16" s="4">
        <v>3</v>
      </c>
      <c r="C16" s="4">
        <v>4</v>
      </c>
      <c r="D16" s="4">
        <v>3</v>
      </c>
      <c r="E16" s="4">
        <v>5</v>
      </c>
      <c r="F16" s="4">
        <v>5</v>
      </c>
      <c r="G16" s="4">
        <v>4</v>
      </c>
      <c r="H16" s="4">
        <v>5</v>
      </c>
      <c r="I16" s="4">
        <v>5</v>
      </c>
      <c r="J16" s="5">
        <f>VALUE(2*0.15+C16*0.15+D16*0.15+E16*0.15+F16*0.15+G16*0.15+H16*0.125+I16*0.125)</f>
        <v>4.6999999999999993</v>
      </c>
    </row>
    <row r="17" spans="1:10" ht="41" customHeight="1">
      <c r="A17" s="9" t="s">
        <v>51</v>
      </c>
      <c r="B17" s="4">
        <v>3</v>
      </c>
      <c r="C17" s="4">
        <v>4</v>
      </c>
      <c r="D17" s="4">
        <v>4</v>
      </c>
      <c r="E17" s="4">
        <v>5</v>
      </c>
      <c r="F17" s="4">
        <v>5</v>
      </c>
      <c r="G17" s="4">
        <v>4</v>
      </c>
      <c r="H17" s="4">
        <v>4</v>
      </c>
      <c r="I17" s="4">
        <v>4</v>
      </c>
      <c r="J17" s="5">
        <f>VALUE(2*0.15+C17*0.15+D17*0.15+E17*0.15+F17*0.15+G17*0.15+H17*0.125+I17*0.125)</f>
        <v>4.5999999999999996</v>
      </c>
    </row>
    <row r="18" spans="1:10" ht="41" customHeight="1">
      <c r="A18" s="10" t="s">
        <v>19</v>
      </c>
      <c r="B18" s="4">
        <v>4</v>
      </c>
      <c r="C18" s="4">
        <v>4</v>
      </c>
      <c r="D18" s="4">
        <v>4</v>
      </c>
      <c r="E18" s="4">
        <v>5</v>
      </c>
      <c r="F18" s="4">
        <v>5</v>
      </c>
      <c r="G18" s="4">
        <v>4</v>
      </c>
      <c r="H18" s="4">
        <v>4</v>
      </c>
      <c r="I18" s="4">
        <v>4</v>
      </c>
      <c r="J18" s="5">
        <f>VALUE(2*0.15+C18*0.15+D18*0.15+E18*0.15+F18*0.15+G18*0.15+H18*0.125+I18*0.125)</f>
        <v>4.5999999999999996</v>
      </c>
    </row>
    <row r="19" spans="1:10" ht="41" customHeight="1">
      <c r="A19" s="9" t="s">
        <v>110</v>
      </c>
      <c r="B19" s="4">
        <v>4</v>
      </c>
      <c r="C19" s="4">
        <v>4</v>
      </c>
      <c r="D19" s="4">
        <v>4</v>
      </c>
      <c r="E19" s="4">
        <v>5</v>
      </c>
      <c r="F19" s="4">
        <v>5</v>
      </c>
      <c r="G19" s="4">
        <v>4</v>
      </c>
      <c r="H19" s="4">
        <v>4</v>
      </c>
      <c r="I19" s="4">
        <v>4</v>
      </c>
      <c r="J19" s="5">
        <f>VALUE(2*0.15+C19*0.15+D19*0.15+E19*0.15+F19*0.15+G19*0.15+H19*0.125+I19*0.125)</f>
        <v>4.5999999999999996</v>
      </c>
    </row>
    <row r="20" spans="1:10" ht="41" customHeight="1">
      <c r="A20" s="9" t="s">
        <v>107</v>
      </c>
      <c r="B20" s="4">
        <v>4</v>
      </c>
      <c r="C20" s="4">
        <v>4</v>
      </c>
      <c r="D20" s="4">
        <v>4</v>
      </c>
      <c r="E20" s="4">
        <v>5</v>
      </c>
      <c r="F20" s="4">
        <v>4</v>
      </c>
      <c r="G20" s="4">
        <v>5</v>
      </c>
      <c r="H20" s="4">
        <v>4</v>
      </c>
      <c r="I20" s="4">
        <v>4</v>
      </c>
      <c r="J20" s="5">
        <f>VALUE(2*0.15+C20*0.15+D20*0.15+E20*0.15+F20*0.15+G20*0.15+H20*0.125+I20*0.125)</f>
        <v>4.5999999999999996</v>
      </c>
    </row>
    <row r="21" spans="1:10" ht="41" customHeight="1">
      <c r="A21" s="10" t="s">
        <v>171</v>
      </c>
      <c r="B21" s="4">
        <v>4</v>
      </c>
      <c r="C21" s="4">
        <v>2</v>
      </c>
      <c r="D21" s="4">
        <v>4</v>
      </c>
      <c r="E21" s="4">
        <v>5</v>
      </c>
      <c r="F21" s="4">
        <v>4</v>
      </c>
      <c r="G21" s="4">
        <v>5</v>
      </c>
      <c r="H21" s="4">
        <v>5</v>
      </c>
      <c r="I21" s="4">
        <v>5</v>
      </c>
      <c r="J21" s="5">
        <f>VALUE(2*0.15+C21*0.15+D21*0.15+E21*0.15+F21*0.15+G21*0.15+H21*0.125+I21*0.125)</f>
        <v>4.55</v>
      </c>
    </row>
    <row r="22" spans="1:10" ht="41" customHeight="1">
      <c r="A22" s="10" t="s">
        <v>243</v>
      </c>
      <c r="B22" s="4">
        <v>5</v>
      </c>
      <c r="C22" s="4">
        <v>4</v>
      </c>
      <c r="D22" s="4">
        <v>5</v>
      </c>
      <c r="E22" s="4">
        <v>4</v>
      </c>
      <c r="F22" s="4">
        <v>4</v>
      </c>
      <c r="G22" s="4">
        <v>3</v>
      </c>
      <c r="H22" s="4">
        <v>5</v>
      </c>
      <c r="I22" s="4">
        <v>5</v>
      </c>
      <c r="J22" s="5">
        <f>VALUE(2*0.15+C22*0.15+D22*0.15+E22*0.15+F22*0.15+G22*0.15+H22*0.125+I22*0.125)</f>
        <v>4.55</v>
      </c>
    </row>
    <row r="23" spans="1:10" ht="41" customHeight="1">
      <c r="A23" s="9" t="s">
        <v>132</v>
      </c>
      <c r="B23" s="4">
        <v>5</v>
      </c>
      <c r="C23" s="4">
        <v>4</v>
      </c>
      <c r="D23" s="4">
        <v>5</v>
      </c>
      <c r="E23" s="4">
        <v>3</v>
      </c>
      <c r="F23" s="4">
        <v>3</v>
      </c>
      <c r="G23" s="4">
        <v>5</v>
      </c>
      <c r="H23" s="4">
        <v>5</v>
      </c>
      <c r="I23" s="4">
        <v>5</v>
      </c>
      <c r="J23" s="5">
        <f>VALUE(2*0.15+C23*0.15+D23*0.15+E23*0.15+F23*0.15+G23*0.15+H23*0.125+I23*0.125)</f>
        <v>4.55</v>
      </c>
    </row>
    <row r="24" spans="1:10" ht="41" customHeight="1">
      <c r="A24" s="10" t="s">
        <v>24</v>
      </c>
      <c r="B24" s="4">
        <v>3</v>
      </c>
      <c r="C24" s="4">
        <v>4</v>
      </c>
      <c r="D24" s="4">
        <v>4</v>
      </c>
      <c r="E24" s="4">
        <v>4</v>
      </c>
      <c r="F24" s="4">
        <v>5</v>
      </c>
      <c r="G24" s="4">
        <v>5</v>
      </c>
      <c r="H24" s="4">
        <v>4</v>
      </c>
      <c r="I24" s="4">
        <v>3</v>
      </c>
      <c r="J24" s="5">
        <f>VALUE(2*0.15+C24*0.15+D24*0.15+E24*0.15+F24*0.15+G24*0.15+H24*0.125+I24*0.125)</f>
        <v>4.4749999999999996</v>
      </c>
    </row>
    <row r="25" spans="1:10" ht="41" customHeight="1">
      <c r="A25" s="10" t="s">
        <v>177</v>
      </c>
      <c r="B25" s="4">
        <v>3</v>
      </c>
      <c r="C25" s="4">
        <v>3</v>
      </c>
      <c r="D25" s="4">
        <v>3</v>
      </c>
      <c r="E25" s="4">
        <v>5</v>
      </c>
      <c r="F25" s="4">
        <v>5</v>
      </c>
      <c r="G25" s="4">
        <v>4</v>
      </c>
      <c r="H25" s="4">
        <v>4</v>
      </c>
      <c r="I25" s="4">
        <v>5</v>
      </c>
      <c r="J25" s="5">
        <f>VALUE(2*0.15+C25*0.15+D25*0.15+E25*0.15+F25*0.15+G25*0.15+H25*0.125+I25*0.125)</f>
        <v>4.4250000000000007</v>
      </c>
    </row>
    <row r="26" spans="1:10" ht="41" customHeight="1">
      <c r="A26" s="10" t="s">
        <v>103</v>
      </c>
      <c r="B26" s="4">
        <v>4</v>
      </c>
      <c r="C26" s="4">
        <v>4</v>
      </c>
      <c r="D26" s="4">
        <v>4</v>
      </c>
      <c r="E26" s="4">
        <v>5</v>
      </c>
      <c r="F26" s="4">
        <v>4</v>
      </c>
      <c r="G26" s="4">
        <v>3</v>
      </c>
      <c r="H26" s="4">
        <v>4</v>
      </c>
      <c r="I26" s="4">
        <v>5</v>
      </c>
      <c r="J26" s="5">
        <f>VALUE(2*0.15+C26*0.15+D26*0.15+E26*0.15+F26*0.15+G26*0.15+H26*0.125+I26*0.125)</f>
        <v>4.4249999999999998</v>
      </c>
    </row>
    <row r="27" spans="1:10" ht="41" customHeight="1">
      <c r="A27" s="10" t="s">
        <v>10</v>
      </c>
      <c r="B27" s="4">
        <v>3</v>
      </c>
      <c r="C27" s="4">
        <v>4</v>
      </c>
      <c r="D27" s="4">
        <v>3</v>
      </c>
      <c r="E27" s="4">
        <v>5</v>
      </c>
      <c r="F27" s="4">
        <v>5</v>
      </c>
      <c r="G27" s="4">
        <v>3</v>
      </c>
      <c r="H27" s="4">
        <v>4</v>
      </c>
      <c r="I27" s="4">
        <v>5</v>
      </c>
      <c r="J27" s="5">
        <f>VALUE(2*0.15+C27*0.15+D27*0.15+E27*0.15+F27*0.15+G27*0.15+H27*0.125+I27*0.125)</f>
        <v>4.4249999999999998</v>
      </c>
    </row>
    <row r="28" spans="1:10" ht="41" customHeight="1">
      <c r="A28" s="9" t="s">
        <v>37</v>
      </c>
      <c r="B28" s="4">
        <v>4</v>
      </c>
      <c r="C28" s="4">
        <v>2</v>
      </c>
      <c r="D28" s="4">
        <v>4</v>
      </c>
      <c r="E28" s="4">
        <v>5</v>
      </c>
      <c r="F28" s="4">
        <v>4</v>
      </c>
      <c r="G28" s="4">
        <v>5</v>
      </c>
      <c r="H28" s="4">
        <v>4</v>
      </c>
      <c r="I28" s="4">
        <v>5</v>
      </c>
      <c r="J28" s="5">
        <f>VALUE(2*0.15+C28*0.15+D28*0.15+E28*0.15+F28*0.15+G28*0.15+H28*0.125+I28*0.125)</f>
        <v>4.4249999999999998</v>
      </c>
    </row>
    <row r="29" spans="1:10" ht="41" customHeight="1">
      <c r="A29" s="9" t="s">
        <v>89</v>
      </c>
      <c r="B29" s="4">
        <v>4</v>
      </c>
      <c r="C29" s="4">
        <v>2</v>
      </c>
      <c r="D29" s="4">
        <v>4</v>
      </c>
      <c r="E29" s="4">
        <v>5</v>
      </c>
      <c r="F29" s="4">
        <v>4</v>
      </c>
      <c r="G29" s="4">
        <v>5</v>
      </c>
      <c r="H29" s="4">
        <v>4</v>
      </c>
      <c r="I29" s="4">
        <v>5</v>
      </c>
      <c r="J29" s="5">
        <f>VALUE(2*0.15+C29*0.15+D29*0.15+E29*0.15+F29*0.15+G29*0.15+H29*0.125+I29*0.125)</f>
        <v>4.4249999999999998</v>
      </c>
    </row>
    <row r="30" spans="1:10" ht="41" customHeight="1">
      <c r="A30" s="10" t="s">
        <v>200</v>
      </c>
      <c r="B30" s="4">
        <v>5</v>
      </c>
      <c r="C30" s="4">
        <v>4</v>
      </c>
      <c r="D30" s="4">
        <v>5</v>
      </c>
      <c r="E30" s="4">
        <v>4</v>
      </c>
      <c r="F30" s="4">
        <v>3</v>
      </c>
      <c r="G30" s="4">
        <v>3</v>
      </c>
      <c r="H30" s="4">
        <v>5</v>
      </c>
      <c r="I30" s="4">
        <v>5</v>
      </c>
      <c r="J30" s="5">
        <f>VALUE(2*0.15+C30*0.15+D30*0.15+E30*0.15+F30*0.15+G30*0.15+H30*0.125+I30*0.125)</f>
        <v>4.4000000000000004</v>
      </c>
    </row>
    <row r="31" spans="1:10" ht="41" customHeight="1">
      <c r="A31" s="10" t="s">
        <v>241</v>
      </c>
      <c r="B31" s="4">
        <v>5</v>
      </c>
      <c r="C31" s="4">
        <v>4</v>
      </c>
      <c r="D31" s="4">
        <v>5</v>
      </c>
      <c r="E31" s="4">
        <v>4</v>
      </c>
      <c r="F31" s="4">
        <v>3</v>
      </c>
      <c r="G31" s="4">
        <v>3</v>
      </c>
      <c r="H31" s="4">
        <v>5</v>
      </c>
      <c r="I31" s="4">
        <v>5</v>
      </c>
      <c r="J31" s="5">
        <f>VALUE(2*0.15+C31*0.15+D31*0.15+E31*0.15+F31*0.15+G31*0.15+H31*0.125+I31*0.125)</f>
        <v>4.4000000000000004</v>
      </c>
    </row>
    <row r="32" spans="1:10" ht="41" customHeight="1">
      <c r="A32" s="10" t="s">
        <v>194</v>
      </c>
      <c r="B32" s="4">
        <v>5</v>
      </c>
      <c r="C32" s="4">
        <v>4</v>
      </c>
      <c r="D32" s="4">
        <v>5</v>
      </c>
      <c r="E32" s="4">
        <v>4</v>
      </c>
      <c r="F32" s="4">
        <v>3</v>
      </c>
      <c r="G32" s="4">
        <v>3</v>
      </c>
      <c r="H32" s="4">
        <v>5</v>
      </c>
      <c r="I32" s="4">
        <v>5</v>
      </c>
      <c r="J32" s="5">
        <f>VALUE(2*0.15+C32*0.15+D32*0.15+E32*0.15+F32*0.15+G32*0.15+H32*0.125+I32*0.125)</f>
        <v>4.4000000000000004</v>
      </c>
    </row>
    <row r="33" spans="1:10" ht="41" customHeight="1">
      <c r="A33" s="9" t="s">
        <v>136</v>
      </c>
      <c r="B33" s="4">
        <v>2</v>
      </c>
      <c r="C33" s="4">
        <v>3</v>
      </c>
      <c r="D33" s="4">
        <v>2</v>
      </c>
      <c r="E33" s="4">
        <v>5</v>
      </c>
      <c r="F33" s="4">
        <v>5</v>
      </c>
      <c r="G33" s="4">
        <v>3</v>
      </c>
      <c r="H33" s="4">
        <v>5</v>
      </c>
      <c r="I33" s="4">
        <v>5</v>
      </c>
      <c r="J33" s="5">
        <f>VALUE(2*0.15+C33*0.15+D33*0.15+E33*0.15+F33*0.15+G33*0.15+H33*0.125+I33*0.125)</f>
        <v>4.25</v>
      </c>
    </row>
    <row r="34" spans="1:10" ht="41" customHeight="1">
      <c r="A34" s="4" t="s">
        <v>236</v>
      </c>
      <c r="B34" s="4">
        <v>2</v>
      </c>
      <c r="C34" s="4">
        <v>3</v>
      </c>
      <c r="D34" s="4">
        <v>2</v>
      </c>
      <c r="E34" s="4">
        <v>5</v>
      </c>
      <c r="F34" s="4">
        <v>5</v>
      </c>
      <c r="G34" s="4">
        <v>3</v>
      </c>
      <c r="H34" s="4">
        <v>5</v>
      </c>
      <c r="I34" s="4">
        <v>5</v>
      </c>
      <c r="J34" s="5">
        <f>VALUE(2*0.15+C34*0.15+D34*0.15+E34*0.15+F34*0.15+G34*0.15+H34*0.125+I34*0.125)</f>
        <v>4.25</v>
      </c>
    </row>
    <row r="35" spans="1:10" ht="41" customHeight="1">
      <c r="A35" s="10" t="s">
        <v>74</v>
      </c>
      <c r="B35" s="4">
        <v>5</v>
      </c>
      <c r="C35" s="4">
        <v>3</v>
      </c>
      <c r="D35" s="4">
        <v>5</v>
      </c>
      <c r="E35" s="4">
        <v>4</v>
      </c>
      <c r="F35" s="4">
        <v>3</v>
      </c>
      <c r="G35" s="4">
        <v>3</v>
      </c>
      <c r="H35" s="4">
        <v>5</v>
      </c>
      <c r="I35" s="4">
        <v>5</v>
      </c>
      <c r="J35" s="5">
        <f>VALUE(2*0.15+C35*0.15+D35*0.15+E35*0.15+F35*0.15+G35*0.15+H35*0.125+I35*0.125)</f>
        <v>4.25</v>
      </c>
    </row>
    <row r="36" spans="1:10" ht="41" customHeight="1">
      <c r="A36" s="10" t="s">
        <v>240</v>
      </c>
      <c r="B36" s="4">
        <v>5</v>
      </c>
      <c r="C36" s="4">
        <v>3</v>
      </c>
      <c r="D36" s="4">
        <v>4</v>
      </c>
      <c r="E36" s="4">
        <v>4</v>
      </c>
      <c r="F36" s="4">
        <v>3</v>
      </c>
      <c r="G36" s="4">
        <v>4</v>
      </c>
      <c r="H36" s="4">
        <v>5</v>
      </c>
      <c r="I36" s="4">
        <v>5</v>
      </c>
      <c r="J36" s="5">
        <f>VALUE(2*0.15+C36*0.15+D36*0.15+E36*0.15+F36*0.15+G36*0.15+H36*0.125+I36*0.125)</f>
        <v>4.25</v>
      </c>
    </row>
    <row r="37" spans="1:10" ht="41" customHeight="1">
      <c r="A37" s="10" t="s">
        <v>204</v>
      </c>
      <c r="B37" s="4">
        <v>5</v>
      </c>
      <c r="C37" s="4">
        <v>4</v>
      </c>
      <c r="D37" s="4">
        <v>5</v>
      </c>
      <c r="E37" s="4">
        <v>4</v>
      </c>
      <c r="F37" s="4">
        <v>3</v>
      </c>
      <c r="G37" s="4">
        <v>3</v>
      </c>
      <c r="H37" s="4">
        <v>4</v>
      </c>
      <c r="I37" s="4">
        <v>4</v>
      </c>
      <c r="J37" s="5">
        <f>VALUE(2*0.15+C37*0.15+D37*0.15+E37*0.15+F37*0.15+G37*0.15+H37*0.125+I37*0.125)</f>
        <v>4.1500000000000004</v>
      </c>
    </row>
    <row r="38" spans="1:10" ht="41" customHeight="1">
      <c r="A38" s="9" t="s">
        <v>59</v>
      </c>
      <c r="B38" s="4">
        <v>5</v>
      </c>
      <c r="C38" s="4">
        <v>3</v>
      </c>
      <c r="D38" s="4">
        <v>5</v>
      </c>
      <c r="E38" s="4">
        <v>4</v>
      </c>
      <c r="F38" s="4">
        <v>3</v>
      </c>
      <c r="G38" s="4">
        <v>4</v>
      </c>
      <c r="H38" s="4">
        <v>4</v>
      </c>
      <c r="I38" s="4">
        <v>4</v>
      </c>
      <c r="J38" s="5">
        <f>VALUE(2*0.15+C38*0.15+D38*0.15+E38*0.15+F38*0.15+G38*0.15+H38*0.125+I38*0.125)</f>
        <v>4.1500000000000004</v>
      </c>
    </row>
    <row r="39" spans="1:10" ht="41" customHeight="1">
      <c r="A39" s="9" t="s">
        <v>67</v>
      </c>
      <c r="B39" s="4">
        <v>5</v>
      </c>
      <c r="C39" s="4">
        <v>3</v>
      </c>
      <c r="D39" s="4">
        <v>5</v>
      </c>
      <c r="E39" s="4">
        <v>4</v>
      </c>
      <c r="F39" s="4">
        <v>3</v>
      </c>
      <c r="G39" s="4">
        <v>4</v>
      </c>
      <c r="H39" s="4">
        <v>4</v>
      </c>
      <c r="I39" s="4">
        <v>4</v>
      </c>
      <c r="J39" s="5">
        <f>VALUE(2*0.15+C39*0.15+D39*0.15+E39*0.15+F39*0.15+G39*0.15+H39*0.125+I39*0.125)</f>
        <v>4.1500000000000004</v>
      </c>
    </row>
    <row r="40" spans="1:10" ht="41" customHeight="1">
      <c r="A40" s="10" t="s">
        <v>174</v>
      </c>
      <c r="B40" s="4">
        <v>4</v>
      </c>
      <c r="C40" s="4">
        <v>2</v>
      </c>
      <c r="D40" s="4">
        <v>3</v>
      </c>
      <c r="E40" s="4">
        <v>5</v>
      </c>
      <c r="F40" s="4">
        <v>4</v>
      </c>
      <c r="G40" s="4">
        <v>4</v>
      </c>
      <c r="H40" s="4">
        <v>4</v>
      </c>
      <c r="I40" s="4">
        <v>5</v>
      </c>
      <c r="J40" s="5">
        <f>VALUE(2*0.15+C40*0.15+D40*0.15+E40*0.15+F40*0.15+G40*0.15+H40*0.125+I40*0.125)</f>
        <v>4.125</v>
      </c>
    </row>
    <row r="41" spans="1:10" ht="41" customHeight="1">
      <c r="A41" s="10" t="s">
        <v>220</v>
      </c>
      <c r="B41" s="4">
        <v>5</v>
      </c>
      <c r="C41" s="4">
        <v>3</v>
      </c>
      <c r="D41" s="4">
        <v>5</v>
      </c>
      <c r="E41" s="4">
        <v>4</v>
      </c>
      <c r="F41" s="4">
        <v>3</v>
      </c>
      <c r="G41" s="4">
        <v>3</v>
      </c>
      <c r="H41" s="4">
        <v>4</v>
      </c>
      <c r="I41" s="4">
        <v>5</v>
      </c>
      <c r="J41" s="5">
        <f>VALUE(2*0.15+C41*0.15+D41*0.15+E41*0.15+F41*0.15+G41*0.15+H41*0.125+I41*0.125)</f>
        <v>4.125</v>
      </c>
    </row>
    <row r="42" spans="1:10" ht="41" customHeight="1">
      <c r="A42" s="10" t="s">
        <v>150</v>
      </c>
      <c r="B42" s="4">
        <v>4</v>
      </c>
      <c r="C42" s="4">
        <v>2</v>
      </c>
      <c r="D42" s="4">
        <v>4</v>
      </c>
      <c r="E42" s="4">
        <v>5</v>
      </c>
      <c r="F42" s="4">
        <v>3</v>
      </c>
      <c r="G42" s="4">
        <v>4</v>
      </c>
      <c r="H42" s="4">
        <v>4</v>
      </c>
      <c r="I42" s="4">
        <v>5</v>
      </c>
      <c r="J42" s="5">
        <f>VALUE(2*0.15+C42*0.15+D42*0.15+E42*0.15+F42*0.15+G42*0.15+H42*0.125+I42*0.125)</f>
        <v>4.125</v>
      </c>
    </row>
    <row r="43" spans="1:10" ht="41" customHeight="1">
      <c r="A43" s="10" t="s">
        <v>209</v>
      </c>
      <c r="B43" s="4">
        <v>5</v>
      </c>
      <c r="C43" s="4">
        <v>3</v>
      </c>
      <c r="D43" s="4">
        <v>5</v>
      </c>
      <c r="E43" s="4">
        <v>4</v>
      </c>
      <c r="F43" s="4">
        <v>3</v>
      </c>
      <c r="G43" s="4">
        <v>3</v>
      </c>
      <c r="H43" s="4">
        <v>4</v>
      </c>
      <c r="I43" s="4">
        <v>4</v>
      </c>
      <c r="J43" s="5">
        <f>VALUE(2*0.15+C43*0.15+D43*0.15+E43*0.15+F43*0.15+G43*0.15+H43*0.125+I43*0.125)</f>
        <v>4</v>
      </c>
    </row>
    <row r="44" spans="1:10" ht="41" customHeight="1">
      <c r="A44" s="9" t="s">
        <v>82</v>
      </c>
      <c r="B44" s="4">
        <v>5</v>
      </c>
      <c r="C44" s="4">
        <v>3</v>
      </c>
      <c r="D44" s="4">
        <v>5</v>
      </c>
      <c r="E44" s="4">
        <v>4</v>
      </c>
      <c r="F44" s="4">
        <v>2</v>
      </c>
      <c r="G44" s="4">
        <v>4</v>
      </c>
      <c r="H44" s="4">
        <v>4</v>
      </c>
      <c r="I44" s="4">
        <v>4</v>
      </c>
      <c r="J44" s="5">
        <f>VALUE(2*0.15+C44*0.15+D44*0.15+E44*0.15+F44*0.15+G44*0.15+H44*0.125+I44*0.125)</f>
        <v>4</v>
      </c>
    </row>
    <row r="45" spans="1:10" ht="41" customHeight="1">
      <c r="A45" s="9" t="s">
        <v>56</v>
      </c>
      <c r="B45" s="4">
        <v>5</v>
      </c>
      <c r="C45" s="4">
        <v>3</v>
      </c>
      <c r="D45" s="4">
        <v>5</v>
      </c>
      <c r="E45" s="4">
        <v>3</v>
      </c>
      <c r="F45" s="4">
        <v>2</v>
      </c>
      <c r="G45" s="4">
        <v>4</v>
      </c>
      <c r="H45" s="4">
        <v>4</v>
      </c>
      <c r="I45" s="4">
        <v>4</v>
      </c>
      <c r="J45" s="5">
        <f>VALUE(2*0.15+C45*0.15+D45*0.15+E45*0.15+F45*0.15+G45*0.15+H45*0.125+I45*0.125)</f>
        <v>3.85</v>
      </c>
    </row>
    <row r="46" spans="1:10" ht="41" customHeight="1">
      <c r="A46" s="9" t="s">
        <v>70</v>
      </c>
      <c r="B46" s="4">
        <v>5</v>
      </c>
      <c r="C46" s="4">
        <v>3</v>
      </c>
      <c r="D46" s="4">
        <v>5</v>
      </c>
      <c r="E46" s="4">
        <v>3</v>
      </c>
      <c r="F46" s="4">
        <v>2</v>
      </c>
      <c r="G46" s="4">
        <v>4</v>
      </c>
      <c r="H46" s="4">
        <v>4</v>
      </c>
      <c r="I46" s="4">
        <v>4</v>
      </c>
      <c r="J46" s="5">
        <f>VALUE(2*0.15+C46*0.15+D46*0.15+E46*0.15+F46*0.15+G46*0.15+H46*0.125+I46*0.125)</f>
        <v>3.85</v>
      </c>
    </row>
    <row r="47" spans="1:10" ht="41" customHeight="1">
      <c r="A47" s="10" t="s">
        <v>154</v>
      </c>
      <c r="B47" s="4">
        <v>4</v>
      </c>
      <c r="C47" s="4">
        <v>2</v>
      </c>
      <c r="D47" s="4">
        <v>4</v>
      </c>
      <c r="E47" s="4">
        <v>3</v>
      </c>
      <c r="F47" s="4">
        <v>2</v>
      </c>
      <c r="G47" s="4">
        <v>5</v>
      </c>
      <c r="H47" s="4">
        <v>4</v>
      </c>
      <c r="I47" s="4">
        <v>5</v>
      </c>
      <c r="J47" s="5">
        <f>VALUE(2*0.15+C47*0.15+D47*0.15+E47*0.15+F47*0.15+G47*0.15+H47*0.125+I47*0.125)</f>
        <v>3.8250000000000002</v>
      </c>
    </row>
    <row r="48" spans="1:10" ht="41" customHeight="1">
      <c r="A48" s="10" t="s">
        <v>168</v>
      </c>
      <c r="B48" s="4">
        <v>5</v>
      </c>
      <c r="C48" s="4">
        <v>2</v>
      </c>
      <c r="D48" s="4">
        <v>4</v>
      </c>
      <c r="E48" s="4">
        <v>3</v>
      </c>
      <c r="F48" s="4">
        <v>2</v>
      </c>
      <c r="G48" s="4">
        <v>4</v>
      </c>
      <c r="H48" s="4">
        <v>5</v>
      </c>
      <c r="I48" s="4">
        <v>5</v>
      </c>
      <c r="J48" s="5">
        <f>VALUE(2*0.15+C48*0.15+D48*0.15+E48*0.15+F48*0.15+G48*0.15+H48*0.125+I48*0.125)</f>
        <v>3.8</v>
      </c>
    </row>
    <row r="49" spans="1:10" ht="41" customHeight="1">
      <c r="A49" s="9" t="s">
        <v>248</v>
      </c>
      <c r="B49" s="4">
        <v>4</v>
      </c>
      <c r="C49" s="4">
        <v>2</v>
      </c>
      <c r="D49" s="4">
        <v>4</v>
      </c>
      <c r="E49" s="4">
        <v>4</v>
      </c>
      <c r="F49" s="4">
        <v>4</v>
      </c>
      <c r="G49" s="4">
        <v>3</v>
      </c>
      <c r="H49" s="4">
        <v>3</v>
      </c>
      <c r="I49" s="4">
        <v>4</v>
      </c>
      <c r="J49" s="5">
        <f>VALUE(2*0.15+C49*0.15+D49*0.15+E49*0.15+F49*0.15+G49*0.15+H49*0.125+I49*0.125)</f>
        <v>3.7249999999999996</v>
      </c>
    </row>
    <row r="50" spans="1:10" ht="41" customHeight="1">
      <c r="A50" s="10" t="s">
        <v>161</v>
      </c>
      <c r="B50" s="4">
        <v>4</v>
      </c>
      <c r="C50" s="4">
        <v>2</v>
      </c>
      <c r="D50" s="4">
        <v>3</v>
      </c>
      <c r="E50" s="4">
        <v>4</v>
      </c>
      <c r="F50" s="4">
        <v>2</v>
      </c>
      <c r="G50" s="4">
        <v>5</v>
      </c>
      <c r="H50" s="4">
        <v>4</v>
      </c>
      <c r="I50" s="4">
        <v>4</v>
      </c>
      <c r="J50" s="5">
        <f>VALUE(2*0.15+C50*0.15+D50*0.15+E50*0.15+F50*0.15+G50*0.15+H50*0.125+I50*0.125)</f>
        <v>3.7</v>
      </c>
    </row>
    <row r="51" spans="1:10" ht="41" customHeight="1">
      <c r="A51" s="10" t="s">
        <v>208</v>
      </c>
      <c r="B51" s="4">
        <v>5</v>
      </c>
      <c r="C51" s="4">
        <v>3</v>
      </c>
      <c r="D51" s="4">
        <v>5</v>
      </c>
      <c r="E51" s="4">
        <v>3</v>
      </c>
      <c r="F51" s="4">
        <v>2</v>
      </c>
      <c r="G51" s="4">
        <v>2</v>
      </c>
      <c r="H51" s="4">
        <v>4</v>
      </c>
      <c r="I51" s="4">
        <v>5</v>
      </c>
      <c r="J51" s="5">
        <f>VALUE(2*0.15+C51*0.15+D51*0.15+E51*0.15+F51*0.15+G51*0.15+H51*0.125+I51*0.125)</f>
        <v>3.6749999999999998</v>
      </c>
    </row>
    <row r="52" spans="1:10" ht="41" customHeight="1">
      <c r="A52" s="10" t="s">
        <v>216</v>
      </c>
      <c r="B52" s="4">
        <v>5</v>
      </c>
      <c r="C52" s="4">
        <v>3</v>
      </c>
      <c r="D52" s="4">
        <v>5</v>
      </c>
      <c r="E52" s="4">
        <v>3</v>
      </c>
      <c r="F52" s="4">
        <v>2</v>
      </c>
      <c r="G52" s="4">
        <v>2</v>
      </c>
      <c r="H52" s="4">
        <v>4</v>
      </c>
      <c r="I52" s="4">
        <v>5</v>
      </c>
      <c r="J52" s="5">
        <f>VALUE(2*0.15+C52*0.15+D52*0.15+E52*0.15+F52*0.15+G52*0.15+H52*0.125+I52*0.125)</f>
        <v>3.6749999999999998</v>
      </c>
    </row>
    <row r="53" spans="1:10" ht="41" customHeight="1">
      <c r="A53" s="9" t="s">
        <v>78</v>
      </c>
      <c r="B53" s="4">
        <v>5</v>
      </c>
      <c r="C53" s="4">
        <v>2</v>
      </c>
      <c r="D53" s="4">
        <v>4</v>
      </c>
      <c r="E53" s="4">
        <v>3</v>
      </c>
      <c r="F53" s="4">
        <v>1</v>
      </c>
      <c r="G53" s="4">
        <v>5</v>
      </c>
      <c r="H53" s="4">
        <v>4</v>
      </c>
      <c r="I53" s="4">
        <v>4</v>
      </c>
      <c r="J53" s="5">
        <f>VALUE(2*0.15+C53*0.15+D53*0.15+E53*0.15+F53*0.15+G53*0.15+H53*0.125+I53*0.125)</f>
        <v>3.55</v>
      </c>
    </row>
    <row r="54" spans="1:10" ht="41" customHeight="1">
      <c r="A54" s="10" t="s">
        <v>157</v>
      </c>
      <c r="B54" s="4">
        <v>5</v>
      </c>
      <c r="C54" s="4">
        <v>2</v>
      </c>
      <c r="D54" s="4">
        <v>4</v>
      </c>
      <c r="E54" s="4">
        <v>3</v>
      </c>
      <c r="F54" s="4">
        <v>2</v>
      </c>
      <c r="G54" s="4">
        <v>4</v>
      </c>
      <c r="H54" s="4">
        <v>4</v>
      </c>
      <c r="I54" s="4">
        <v>4</v>
      </c>
      <c r="J54" s="5">
        <f>VALUE(2*0.15+C54*0.15+D54*0.15+E54*0.15+F54*0.15+G54*0.15+H54*0.125+I54*0.125)</f>
        <v>3.55</v>
      </c>
    </row>
    <row r="55" spans="1:10" ht="41" customHeight="1">
      <c r="A55" s="10" t="s">
        <v>197</v>
      </c>
      <c r="B55" s="4">
        <v>5</v>
      </c>
      <c r="C55" s="4">
        <v>2</v>
      </c>
      <c r="D55" s="4">
        <v>5</v>
      </c>
      <c r="E55" s="4">
        <v>3</v>
      </c>
      <c r="F55" s="4">
        <v>2</v>
      </c>
      <c r="G55" s="4">
        <v>2</v>
      </c>
      <c r="H55" s="4">
        <v>4</v>
      </c>
      <c r="I55" s="4">
        <v>4</v>
      </c>
      <c r="J55" s="5">
        <f>VALUE(2*0.15+C55*0.15+D55*0.15+E55*0.15+F55*0.15+G55*0.15+H55*0.125+I55*0.125)</f>
        <v>3.4</v>
      </c>
    </row>
    <row r="56" spans="1:10" ht="41" customHeight="1">
      <c r="A56" s="9" t="s">
        <v>63</v>
      </c>
      <c r="B56" s="4">
        <v>5</v>
      </c>
      <c r="C56" s="4">
        <v>2</v>
      </c>
      <c r="D56" s="4">
        <v>5</v>
      </c>
      <c r="E56" s="4">
        <v>3</v>
      </c>
      <c r="F56" s="4">
        <v>1</v>
      </c>
      <c r="G56" s="4">
        <v>3</v>
      </c>
      <c r="H56" s="4">
        <v>4</v>
      </c>
      <c r="I56" s="4">
        <v>4</v>
      </c>
      <c r="J56" s="5">
        <f>VALUE(2*0.15+C56*0.15+D56*0.15+E56*0.15+F56*0.15+G56*0.15+H56*0.125+I56*0.125)</f>
        <v>3.4</v>
      </c>
    </row>
    <row r="57" spans="1:10" ht="41" customHeight="1">
      <c r="A57" s="9" t="s">
        <v>86</v>
      </c>
      <c r="B57" s="4">
        <v>5</v>
      </c>
      <c r="C57" s="4">
        <v>2</v>
      </c>
      <c r="D57" s="4">
        <v>4</v>
      </c>
      <c r="E57" s="4">
        <v>3</v>
      </c>
      <c r="F57" s="4">
        <v>1</v>
      </c>
      <c r="G57" s="4">
        <v>4</v>
      </c>
      <c r="H57" s="4">
        <v>4</v>
      </c>
      <c r="I57" s="4">
        <v>3</v>
      </c>
      <c r="J57" s="5">
        <f>VALUE(2*0.15+C57*0.15+D57*0.15+E57*0.15+F57*0.15+G57*0.15+H57*0.125+I57*0.125)</f>
        <v>3.2749999999999999</v>
      </c>
    </row>
    <row r="58" spans="1:10" ht="41" customHeight="1">
      <c r="A58" s="10" t="s">
        <v>164</v>
      </c>
      <c r="B58" s="4">
        <v>4</v>
      </c>
      <c r="C58" s="4">
        <v>1</v>
      </c>
      <c r="D58" s="4">
        <v>3</v>
      </c>
      <c r="E58" s="4">
        <v>3</v>
      </c>
      <c r="F58" s="4">
        <v>1</v>
      </c>
      <c r="G58" s="4">
        <v>5</v>
      </c>
      <c r="H58" s="4">
        <v>4</v>
      </c>
      <c r="I58" s="4">
        <v>4</v>
      </c>
      <c r="J58" s="5">
        <f>VALUE(2*0.15+C58*0.15+D58*0.15+E58*0.15+F58*0.15+G58*0.15+H58*0.125+I58*0.125)</f>
        <v>3.25</v>
      </c>
    </row>
    <row r="59" spans="1:10" ht="41" customHeight="1">
      <c r="A59" s="10" t="s">
        <v>180</v>
      </c>
      <c r="B59" s="4">
        <v>3</v>
      </c>
      <c r="C59" s="4">
        <v>2</v>
      </c>
      <c r="D59" s="4">
        <v>3</v>
      </c>
      <c r="E59" s="4">
        <v>3</v>
      </c>
      <c r="F59" s="4">
        <v>2</v>
      </c>
      <c r="G59" s="4">
        <v>2</v>
      </c>
      <c r="H59" s="4">
        <v>4</v>
      </c>
      <c r="I59" s="4">
        <v>5</v>
      </c>
      <c r="J59" s="5">
        <f>VALUE(2*0.15+C59*0.15+D59*0.15+E59*0.15+F59*0.15+G59*0.15+H59*0.125+I59*0.125)</f>
        <v>3.2249999999999996</v>
      </c>
    </row>
  </sheetData>
  <sortState xmlns:xlrd2="http://schemas.microsoft.com/office/spreadsheetml/2017/richdata2" ref="A4:J59">
    <sortCondition descending="1" ref="J4:J59"/>
  </sortState>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App Development</vt:lpstr>
      <vt:lpstr>Digital Marketing</vt:lpstr>
      <vt:lpstr>Web Development</vt:lpstr>
      <vt:lpstr>Graphic Design</vt:lpstr>
      <vt:lpstr>SEO Optimization</vt:lpstr>
      <vt:lpstr>Scores</vt:lpstr>
      <vt:lpstr>A0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Sujashree Roy</dc:creator>
  <cp:lastModifiedBy>Sujashree Roy</cp:lastModifiedBy>
  <dcterms:created xsi:type="dcterms:W3CDTF">2026-05-21T11:58:54Z</dcterms:created>
  <dcterms:modified xsi:type="dcterms:W3CDTF">2026-05-25T10:15:42Z</dcterms:modified>
</cp:coreProperties>
</file>
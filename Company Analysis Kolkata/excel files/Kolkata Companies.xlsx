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iri/Desktop/Company Analysis Kolkata/"/>
    </mc:Choice>
  </mc:AlternateContent>
  <xr:revisionPtr revIDLastSave="0" documentId="13_ncr:1_{620ECC15-D394-464E-B4E4-D641629A1EF0}" xr6:coauthVersionLast="47" xr6:coauthVersionMax="47" xr10:uidLastSave="{00000000-0000-0000-0000-000000000000}"/>
  <bookViews>
    <workbookView xWindow="0" yWindow="0" windowWidth="28800" windowHeight="18000" activeTab="5" xr2:uid="{5E6BB3B3-39E9-F644-B664-8B6715E89631}"/>
  </bookViews>
  <sheets>
    <sheet name="app" sheetId="1" r:id="rId1"/>
    <sheet name="web" sheetId="2" r:id="rId2"/>
    <sheet name="digital marketing" sheetId="3" r:id="rId3"/>
    <sheet name="SEO" sheetId="4" r:id="rId4"/>
    <sheet name="digital transformation" sheetId="5" r:id="rId5"/>
    <sheet name="score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6" i="6" l="1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4" i="6"/>
  <c r="I3" i="6"/>
  <c r="I2" i="6"/>
</calcChain>
</file>

<file path=xl/sharedStrings.xml><?xml version="1.0" encoding="utf-8"?>
<sst xmlns="http://schemas.openxmlformats.org/spreadsheetml/2006/main" count="309" uniqueCount="219">
  <si>
    <t>Company Name</t>
  </si>
  <si>
    <t>Clients</t>
  </si>
  <si>
    <t>Industries</t>
  </si>
  <si>
    <t>Focus</t>
  </si>
  <si>
    <t>Scale Preference</t>
  </si>
  <si>
    <t>Matrix Media Solutions (P) Ltd.</t>
  </si>
  <si>
    <t>Mid-Scale to Enterprise</t>
  </si>
  <si>
    <t>Webskitters</t>
  </si>
  <si>
    <t>Startups to Enterprise</t>
  </si>
  <si>
    <t>Tech Exactly</t>
  </si>
  <si>
    <t>Mobile app development (responsive service, tailored solutions)</t>
  </si>
  <si>
    <t>Startups to Mid-Scale</t>
  </si>
  <si>
    <t>Mass Software Solutions Private Limited</t>
  </si>
  <si>
    <t>Healthcare, Real Estate, On-Demand, Enterprise, eCommerce</t>
  </si>
  <si>
    <t>Digital Aptech</t>
  </si>
  <si>
    <t>Shyam Future Tech Pvt. Ltd</t>
  </si>
  <si>
    <t>Mobile app development (fast delivery focus)</t>
  </si>
  <si>
    <t>Growth Loops Technology Private Limited</t>
  </si>
  <si>
    <t>Mobile app development (transforming ideas into apps)</t>
  </si>
  <si>
    <t>Brainium Information Technologies</t>
  </si>
  <si>
    <t>Techno Exponent</t>
  </si>
  <si>
    <t>Mobile app development (robust, user-friendly apps)</t>
  </si>
  <si>
    <t>Weavers Web Solutions Pvt. Ltd.</t>
  </si>
  <si>
    <t>Soultrove India, Zuba LLC, Pisa World, MasterStroke, Privilege Technologies, NAS Freight Solutions, WBHIDCO Ltd., Sassy Dog Fashions, My First Gym, Gulluck</t>
  </si>
  <si>
    <t>Full-service digital agency (web/mobile dev, AI/ML, IoT, digital marketing, staff augmentation)</t>
  </si>
  <si>
    <t>IT consulting &amp; software development (mobile/web/eCommerce apps, staff augmentation, IoT, digital marketing)</t>
  </si>
  <si>
    <t>AI-First product engineering (AI/LLM/Agents, cloud/DevOps, mobile apps, data analytics, staff augmentation)</t>
  </si>
  <si>
    <t>Web &amp; app development (SaaS, blockchain, cloud, IoT, digital marketing, AI/ML)</t>
  </si>
  <si>
    <t>Enterprise</t>
  </si>
  <si>
    <t>Thompson Reuters, Flurry's, Park Hotel Group, GMG, Skoch Group, and IFB Agro Industries.</t>
  </si>
  <si>
    <t>Tanishq Agro Products,Lean Business Excellence,DiaMin Group LLC,Bernard Industrial Services,Connect A Load LLC,Nisarga Biotech Pvt Ltd</t>
  </si>
  <si>
    <t xml:space="preserve">FinTech, Entertainment, Travel, Healthcare, Government, Education, E-commerce, Real Estate, PR &amp; Marketing, Retail, Legal, Sales, HR, Manufacturing </t>
  </si>
  <si>
    <t xml:space="preserve">Healthcare, Finance, E-Commerce, Education, Media &amp; Entertainment </t>
  </si>
  <si>
    <t xml:space="preserve">FinTech, Entertainment, Travel, Healthcare, Government, Education, E-commerce, Real Estate, PR &amp; Marketing, Retail, Legal, Sales, HR, Manufacturing 
</t>
  </si>
  <si>
    <t>Retail &amp; eCommerce, Healthcare &amp; Life Sciences, Financial Services &amp; Fintech, Logistics &amp; Supply Chain, Manufacturing, Education &amp; EdTech, Travel &amp; Hospitality, Media &amp; Entertainment</t>
  </si>
  <si>
    <t xml:space="preserve">Financial Services, Medical Device Manufacturing, Biotech, Healthcare, Fitness, Entertainment, Business Services, Nonprofit, Hospitality, SaaS 
</t>
  </si>
  <si>
    <t xml:space="preserve">ERP, CRM, Website Development, Mobile App Development, Graphics Designing, AI-Powered Automation, IT/ITES Systems Integration, Enterprise IT Solutions </t>
  </si>
  <si>
    <t xml:space="preserve">Finance, Retail, Media &amp; Entertainment, Telecom, Marketing &amp; Ad Tech </t>
  </si>
  <si>
    <t xml:space="preserve">IT Services, Healthcare, Real Estate, eCommerce, Education, Web3/Blockchain, AI/ML </t>
  </si>
  <si>
    <t>Chord Sheet Pro, IT Solutions Company, Staffing &amp; Recruitment Firm, Technology Solutions Provider, Elit-Web, Mantravadi Services Inc, Pozzani Pure Water Ltd, K3G Solutions, GSK, Kolkata Police</t>
  </si>
  <si>
    <t xml:space="preserve"> Grant Wilkinson, G2 Guide, FlipRide, Bubblegum Consulting Service, Clarus, RedStormGraphics, Anantara</t>
  </si>
  <si>
    <t>Food For Fitness,PCM Oceania,Epiphany Labs,Healthy Finances,Foundation for Talent Transformation,Crixter.com, Stickme Notes (1.5M+ app installs), Earth Snap (1M+ app installs), World Fintech Festival, Rease</t>
  </si>
  <si>
    <t>Big Ten Conference, Renasant Bank, Indeed, Boston Red Sox, Harris Blitzer Sports &amp; Entertainment, Mercari US, NASCAR, Kansas City Royals |</t>
  </si>
  <si>
    <t xml:space="preserve">Red Bull, NASA Engineers, Universities and Educational Businesses, Hospitals and Path Labs, Real Estate Agencies, eCommerce and Retail companies </t>
  </si>
  <si>
    <t>PiTangent Analytics and Technology Solutions Pvt Ltd</t>
  </si>
  <si>
    <t>4kaster, Sánchez Analytics, RINKU, Credit Butterfly, Evaluations Hub, RePredict, SacredCow Studio, Care App</t>
  </si>
  <si>
    <t>Finance, Manufacturing, Healthcare, Retail, Transportation &amp; Logistics, Food Delivery, Real Estate, BFSI</t>
  </si>
  <si>
    <t>Full-stack engineering, SaaS development, MVP development, Acumatica ERP services, AI/ML &amp; Data solutions, GDPR-ready secure SDLC</t>
  </si>
  <si>
    <t>Vasanti Cosmetics</t>
  </si>
  <si>
    <t>Web &amp; mobile app development, enterprise software, SaaS platforms, AI-driven solutions, digital marketing</t>
  </si>
  <si>
    <t>Capital Numbers</t>
  </si>
  <si>
    <t>Reuters, Tipalti, Amount, Cinepolis, Nana.sa, Isha Foundation, Outlook, Conde Nast, Flipkart, Grey Digital, Digital Marketer, Vogue, Hudson Regional Hospital, University of Colorado, Consumer Reports, Fundation, Thomson Reuters, HelloBar, Kargo, SDL, ST Engineering</t>
  </si>
  <si>
    <t>Digital Publishing, SaaS, Online Retail, Financial Services, Travel &amp; Consumer, Software &amp; Hi-Tech, Business Information &amp; Media, Life Sciences &amp; Healthcare, eCommerce</t>
  </si>
  <si>
    <t>AI, Cloud &amp; Data Engineering, System Integration (Salesforce, Magento, MS Dynamics, Odoo), Web &amp; Mobile Development, QA &amp; Testing, UI/UX, Emerging Tech (Blockchain, AR/VR, IoT), Agile Pods</t>
  </si>
  <si>
    <t>Concord Hospitality Enterprises, Urgo Hotels and Resorts, The Chartres Lodging Group, LLC</t>
  </si>
  <si>
    <t>Mobile app development, web development, e-commerce development, UI/UX development, staff augmentation, IoT development, digital marketing, data science</t>
  </si>
  <si>
    <t>Unified Infotech</t>
  </si>
  <si>
    <t>Not specified in sources</t>
  </si>
  <si>
    <t>Fintech, Healthcare, E-commerce, Education, Automotive</t>
  </si>
  <si>
    <t>Custom software development, AI, IoT, blockchain, AR/VR integration</t>
  </si>
  <si>
    <t>FinTech, Entertainment, Travel, Healthcare, Government, Education, E-commerce, Real Estate, PR &amp; Marketing, Retail, Legal, Sales, HR, Manufacturing</t>
  </si>
  <si>
    <t>Volkswagen, Nestlé, Eataly, Icahn School of Medicine at Mount Sinai, Reliance Infrastructure</t>
  </si>
  <si>
    <t>Mobile app development, AI-powered solutions, enterprise software, digital transformation, dedicated teams</t>
  </si>
  <si>
    <t>Prelegant Technologies, Neroli Group AG, Flooring Company, Leo Consulting Services, Web Development Company, Indigenous Futures Foundation, Tech On Demand 704 LLC</t>
  </si>
  <si>
    <t>Retail &amp; eCommerce, Healthcare &amp; Life Sciences, Financial Services &amp; Fintech, Logistics &amp; Supply Chain, Manufacturing, Education &amp; EdTech, Travel &amp; Hospitality, Media &amp; Entertainment, Sports, Construction, Food &amp; Beverage, Consumer Products, Advertising &amp; Marketing</t>
  </si>
  <si>
    <t>AI-First product engineering (AI/LLM/Agents, cloud/DevOps, mobile apps, data analytics, staff augmentation), ISO 9001:2015 certified</t>
  </si>
  <si>
    <t>DreamzTech Solutions</t>
  </si>
  <si>
    <t>DHL, Nestlé, ABInBev, Close Brothers Brewery Rentals</t>
  </si>
  <si>
    <t>Manufacturing, Logistics, Retail, eLearning, Fintech, Agriculture, Travel, Casino, Sports, Healthcare, Real Estate, Facility</t>
  </si>
  <si>
    <t>AI-augmented enterprise solutions, BI software development, custom mobile/web development, enterprise software, MVP in 15 days</t>
  </si>
  <si>
    <t>Startups to Fortune 500</t>
  </si>
  <si>
    <t>Designs Codes</t>
  </si>
  <si>
    <t>Treatwell Counselling, Level Up Fitness, Stratscience Consulting, Real Decor, Lauren Griffin Yoga, Senior Home Exchange, CelticCK Productions, TravelU, Instafixx, Market Dojo</t>
  </si>
  <si>
    <t>Web &amp; mobile app development, custom software development, cloud computing, dedicated developer hiring (hourly rates start $17)</t>
  </si>
  <si>
    <t xml:space="preserve">AI, Automotive, Corporate Services, Consumer Goods, Delivery &amp; Takeaway, Design, eCommerce, Entertainment, Gaming </t>
  </si>
  <si>
    <t xml:space="preserve">Business Services, Consumer Products &amp; Services, Financial Services, GPS/Navigation/GIS, Hospitality &amp; Leisure, Manufacturing, Media, Medical, Supply Chain/Logistics/Transport, eCommerce, BFSI, Education, Healthcare, Retail </t>
  </si>
  <si>
    <t>Lee and Nee</t>
  </si>
  <si>
    <t>Marketing &amp; Event Management Company, Business Midwife Marketing Agency, Creative Digital Agency, Home Improvement Company</t>
  </si>
  <si>
    <t>Manufacturing, Education, Entertainment, Media, Real Estate, Travel &amp; Transport, Logistics, Healthcare</t>
  </si>
  <si>
    <t>Digital marketing (SEO, Google Ads, FB Ads, SMO), ERP solutions, web development, mobile app development</t>
  </si>
  <si>
    <t>Zebra Techies Solution (ZTS)</t>
  </si>
  <si>
    <t>Summit Executive Cleaning, Next Dimension Story, KN LAW LLP, Shashi food inc, Travel Leaders, Consumer Goods Company, GPG, Computer Store, Data Center, FreshPack Solutions</t>
  </si>
  <si>
    <t>Legal, Hospitality, Food &amp; Beverage, Travel, Advertising, Technology, Retail, Manufacturing</t>
  </si>
  <si>
    <t>Kreative Machinez</t>
  </si>
  <si>
    <t>Oxedent</t>
  </si>
  <si>
    <t>Red Bull, NASA Engineers, Disney, Amazon, Forbes</t>
  </si>
  <si>
    <t>IT Services, Healthcare, Real Estate, eCommerce, Education, Web3/Blockchain, AI/ML</t>
  </si>
  <si>
    <t>Web &amp; app development, AI/ML, blockchain, digital marketing, cloud solutions, dedicated hiring (CMMI Level 5, ISO certified)</t>
  </si>
  <si>
    <t>Skyram Technologies</t>
  </si>
  <si>
    <t>Synoviq</t>
  </si>
  <si>
    <t>Magicmind Technologies Limited</t>
  </si>
  <si>
    <t>Blockchain Company, Financial Analytics Company, Financial Services Company, Email Knowledge Center, S Kumar Services Inc., Xeroictech, settingneeds.com, Dominion Prep, Powerlogy, Immigration Consultancy Firm</t>
  </si>
  <si>
    <t>Financial Services, Education, Retail, Legal, Business Services</t>
  </si>
  <si>
    <t>Mobile &amp; web apps, custom software, UI/UX, eCommerce, AI development, IT staff augmentation, digital marketing</t>
  </si>
  <si>
    <t>UrsDigitally</t>
  </si>
  <si>
    <t>JSB Infrastructures, Faradic, Country Roads</t>
  </si>
  <si>
    <t>Real Estate, Automotive, Hospitality &amp; Leisure</t>
  </si>
  <si>
    <t>Logic Square Technologies</t>
  </si>
  <si>
    <t>closewise.com, TrueFanz, Vayco+, Grouped, Educational AR Game, Business Process Software Firm, Tourism Company</t>
  </si>
  <si>
    <t>Machine Learning/AI, Content Monetization, Travel Tech, Telecommunications, Education, IT, Hospitality</t>
  </si>
  <si>
    <t>Digital marketing (SEO, PPC, SMM, lead generation), AI-powered strategies, web design &amp; development</t>
  </si>
  <si>
    <t>E-commerce, Real Estate, Finance, SaaS, Healthcare, Fashion, Education, Sports</t>
  </si>
  <si>
    <t>Full-service digital marketing (SEO, SMM, content marketing, web design &amp; development, branding, PR)</t>
  </si>
  <si>
    <t>EKAM, Leto Cafe, RevComps, Dusk.com.au</t>
  </si>
  <si>
    <t>eCommerce (100% of clients)</t>
  </si>
  <si>
    <t>PPC management (Google Ads, Facebook Ads, Google Shopping), conversion rate optimization, landing page optimization, analytics</t>
  </si>
  <si>
    <t>Small to Mid-Size eCommerce Businesses</t>
  </si>
  <si>
    <t>Reebok, FanFinders, Zendata, Prompt</t>
  </si>
  <si>
    <t>Business Services, eCommerce, Consumer Products, Education, IT, Manufacturing, Medical, Real Estate</t>
  </si>
  <si>
    <t>Branding, digital strategy, SEO, conversion optimization, web design &amp; development (Webflow), chatbot marketing</t>
  </si>
  <si>
    <t>Small to Enterprise</t>
  </si>
  <si>
    <t>Not specified (serves thousands globally)</t>
  </si>
  <si>
    <t>Full-service digital marketing, data analytics, software &amp; app development, cloud computing, AI engineering, digital transformation, SEO, UI/UX, ERP/CRM</t>
  </si>
  <si>
    <t>Startups to Enterprise (Serves thousands of clients globally)</t>
  </si>
  <si>
    <t>Digital marketing (social media, SEO, website development, brand strategy)</t>
  </si>
  <si>
    <t>Custom software development, web &amp; mobile app development (JavaScript, PHP, Python, React, Node.js), SEO</t>
  </si>
  <si>
    <t xml:space="preserve">Kolkata Thunderbolts, Tata Steel, Berger Paints ,Blue Dart , Discovery Holidays , The Dioz Group ,Karma Fitness Studio </t>
  </si>
  <si>
    <t>Logistics &amp; Supply Chain , Healthcare &amp; Pharma , Financial Services , Insurance , Automotive , E-Commerce , Real Estate , SaaS Companies</t>
  </si>
  <si>
    <t>Summit Executive Cleaning, Next Dimension Story, KN LAW LLP, Shashi food inc, Travel Leaders, GPG, Computer Store, Data Center, FreshPack Solutions, Yubi</t>
  </si>
  <si>
    <t>Legal, Hospitality, Food &amp; Beverage, Travel, Advertising, Technology, Retail, Manufacturing, Financial Services</t>
  </si>
  <si>
    <t>Award-winning SEO &amp; digital marketing, AI-powered strategies, PPC, SMM, lead generation, web design &amp; development</t>
  </si>
  <si>
    <t>SEO, Google Ads, FB Ads, SMO, ERP solutions, web development, mobile app development</t>
  </si>
  <si>
    <t>SEO, mobile &amp; web apps, custom software, UI/UX, eCommerce, AI development, IT staff augmentation, digital marketing</t>
  </si>
  <si>
    <t>closewise.com, TrueFanz, Vayco+, Grouped, Educational AR Game, Business Process Software Firm, Tourism Company, GuROO LLC, Heritage Painting, Qualiphy PC, XBenefits</t>
  </si>
  <si>
    <t>Accounting, Automotive, Construction, eCommerce, Education, Financial Services, Government, Healthcare, Hospitality, Legal, Manufacturing, Real Estate, Logistics</t>
  </si>
  <si>
    <t>SEO, custom software development, web &amp; mobile apps, blockchain, AI/ML, cloud consulting, DevOps, IoT, ERP solutions</t>
  </si>
  <si>
    <t>The Clueless Company</t>
  </si>
  <si>
    <t>Software/Technology (70%), Hospitality/Travel (20%), Marketing Services (10%)</t>
  </si>
  <si>
    <t>RevOps consulting, SEO, digital marketing, content marketing, marketing strategy, business consulting, conversion optimization</t>
  </si>
  <si>
    <t>Techwishes Solutions</t>
  </si>
  <si>
    <t>Not specified (serves D2C brands, eCommerce, food &amp; beverage)</t>
  </si>
  <si>
    <t>SEO, web development (Shopify specialist), mobile app development, AI/automation integrations, UI/UX design, technical audits</t>
  </si>
  <si>
    <t>Carney Technologies Services</t>
  </si>
  <si>
    <t>Air Asia, Government Organizations</t>
  </si>
  <si>
    <t>Aviation &amp; Travel, E-commerce, Healthcare, Real Estate, Technology, Education, Hospitality, Legal, Manufacturing, Logistics</t>
  </si>
  <si>
    <t>SEO (AI-based), full-stack web development, mobile app development, digital advertising &amp; PPC, social media marketing, content marketing, reputation management, IT consulting</t>
  </si>
  <si>
    <t>OutreachX</t>
  </si>
  <si>
    <t>Mobile Premier League (Gaming), Yubi (B2B Lending), Publishing Company, Marketing Services Company</t>
  </si>
  <si>
    <t>B2B SaaS, E-commerce, Software, Services, Gaming, Financial Services, Publishing</t>
  </si>
  <si>
    <t>Premium multilingual link building (20+ languages, 30+ countries), SEO, content marketing, website audits, outreach services</t>
  </si>
  <si>
    <t>FanFinders, Graphite, Fitdegree, UBI Works, Panacea Financial, EVY Technology, The SuperMall Online, Glass Full Solutions, The Closing Phase, Tech Startup, Data Security Company</t>
  </si>
  <si>
    <t>Advertising/Marketing, Technology, Retail, Education, IT, Real Estate, Media, Business Services, Data Security, Legal</t>
  </si>
  <si>
    <t>SEO, PPC, web design &amp; development (Webflow, WordPress, Shopify), UI/UX, digital marketing, conversion rate optimization, staff augmentation</t>
  </si>
  <si>
    <t>WebGuru Infosystems Pvt. Ltd.</t>
  </si>
  <si>
    <t>Zee Entertainment, Hindalco Industries, Usha Communications, Larica Group, Rene, SBI Learning, CBM, DAITM, MDIM, HETC, HDFC, The Times Group, Process Matrix Consulting, Magma Line Inc, ITC Ltd</t>
  </si>
  <si>
    <t>Legal (5%), Real Estate (10%), Hospitality &amp; Leisure (10%), IT (10%), Non-Profit (5%), Medical (10%), Manufacturing (10%), Consumer Products (10%), eCommerce (20%), Supply Chain/Logistics (10%)</t>
  </si>
  <si>
    <t>Award-winning SEO, web development, mobile app development, eCommerce development, digital marketing, design &amp; branding</t>
  </si>
  <si>
    <t>Everstage, Suvit  ,Splore, Bloom, Sight Ventures, Swyftin</t>
  </si>
  <si>
    <t>Snitch , Keventer , Teaboxi, Tokri, As It Is Nutrition</t>
  </si>
  <si>
    <t>ITC Infotech</t>
  </si>
  <si>
    <t>Aerospace &amp; Defense, Automotive, Banking &amp; Financial Services, Consumer Packaged Goods, Healthcare, Hospitality, Insurance, Manufacturing, Media &amp; Entertainment, Pharma, Retail, Technology, Telecom, Travel, Transportation &amp; Logistics, Utilities [citation:1]</t>
  </si>
  <si>
    <t>SAP implementation, cloud migration, AI/automation, enterprise platform modernization, digital supply chain, customer experience transformation, data analytics, IoT</t>
  </si>
  <si>
    <t>Enterprise (Fortune 500/Global 2000)</t>
  </si>
  <si>
    <t>TCG Digital</t>
  </si>
  <si>
    <t>Oil &amp; Gas/Refineries &amp; Petrochemicals, Life Sciences, Aviation, Retail &amp; CPG, Sports, Manufacturing, Energy, Utilities, Process Industries, Agriculture</t>
  </si>
  <si>
    <t>Agentic AI &amp; data platforms (mcube™ platform), ontology-driven lakehouse architecture, digital twins, GenAI predictive maintenance, real-time process optimization, autonomous plant solutions, IoT integration</t>
  </si>
  <si>
    <t>Enterprise (Large-scale industrial)</t>
  </si>
  <si>
    <t>Mantra Labs</t>
  </si>
  <si>
    <t>BFSI (Banking/Financial Services/Insurance), Healthcare, Consumer Internet, InsurTech, HealthTech</t>
  </si>
  <si>
    <t>Enterprise (Fortune 500)</t>
  </si>
  <si>
    <t>IT Services, Healthcare, Real Estate, eCommerce, Education, Web3/Blockchain, AI/ML, Legal, Hospitality, Manufacturing</t>
  </si>
  <si>
    <t>Startups to Enterprise (2000+ clients globally)</t>
  </si>
  <si>
    <t>Web Spiders (India) Pvt. Ltd</t>
  </si>
  <si>
    <t>aQb Solutions Private Limited</t>
  </si>
  <si>
    <t>Blue Copper Technologies Pvt Ltd</t>
  </si>
  <si>
    <t>Government to Enterprise</t>
  </si>
  <si>
    <t>Primary Infotech Private Limited</t>
  </si>
  <si>
    <t>AOTWO Web &amp; Technology Pvt Ltd</t>
  </si>
  <si>
    <t>Government (Public Sector), Enterprise, Startups, Technology</t>
  </si>
  <si>
    <t>Mitsubishi Motors Europe, Government of Singapore, Crescent Foundry, National University of Singapore (NUS), British Counci</t>
  </si>
  <si>
    <t>CliniMed Lifesciences, Heed Logistics, WFCN, Creative Wealth International</t>
  </si>
  <si>
    <t>AYUSH, Tourism, Urban Governance, Fintech clients</t>
  </si>
  <si>
    <t xml:space="preserve">Manufacturing, Steel, IT/ITES, Government, Enterprise </t>
  </si>
  <si>
    <t>Retail &amp; E-commerce, Education, Government, Business Services</t>
  </si>
  <si>
    <t>Analytics, Artificial Intelligence (AI), Blockchain, Consulting, Enterprise Applications, Internet of Things (IoT), Machine Learning, SaaS, Web Apps, Web Development</t>
  </si>
  <si>
    <t xml:space="preserve">Healthcare, Tourism, Urban Planning/Governance, Fintech, Manufacturing, Mining, Finance, Education, Logistics </t>
  </si>
  <si>
    <t xml:space="preserve">Education, Travel, E-commerce, Enterprise, MSME, Startups </t>
  </si>
  <si>
    <t>Gplus Education, Relax India, Epariseva.com, Grace Surgical &amp; Medical Devices, Munara Agro Technologies Private Limited, Ventota Retai</t>
  </si>
  <si>
    <t xml:space="preserve">SME </t>
  </si>
  <si>
    <t>small to medium enterprise</t>
  </si>
  <si>
    <t xml:space="preserve">British American Tobacco, Godrej Group, Lufthansa, Mars, P&amp;G, ThyssenKrupp, Vodafone, Whirlpool </t>
  </si>
  <si>
    <t xml:space="preserve">HPCL, ADMA Biologics, United Airlines, PANA Holdings </t>
  </si>
  <si>
    <t xml:space="preserve">AbbVie Pharmaceuticals, SAAB, PACE Industries, American Auto Club, Change Healthcare, Green Brilliance, ICICI Lombard, SBI General, Care Health Insurance, Pramerica, Aditya Birla Health, AIA Hong Kong </t>
  </si>
  <si>
    <t>NASA engineers, Disney, Amazon, Red Bull, Forbes</t>
  </si>
  <si>
    <t xml:space="preserve">Shyam Steel Industries, government projects </t>
  </si>
  <si>
    <t xml:space="preserve">Low-code application development (formsflow.ai - 5000+ organizations), AI/ML-powered automation, cloud-native engineering, enterprise systems integration, legacy system modernization, case management platform (caseflow), app modernization </t>
  </si>
  <si>
    <t xml:space="preserve">Cloud-based enterprise business process automation, Odoo ERP development, mobile app development, SaaS (School Management, Travel Portal, LMS, E-commerce, CRM, Project Management, Production Management, ERP), digital consulting, analytics, cloud infra </t>
  </si>
  <si>
    <t>Product engineering, advisory &amp; consulting (government/federal), platform modernization, legacy system migration, cloud migration, AI decision platform, compliance management, digital engineering, IoT, AI-driven lead finder</t>
  </si>
  <si>
    <t>Custom software development, data analytics solutions, AI/ML, IoT technologies, cloud application development, product development consulting, business process management, IT transformation</t>
  </si>
  <si>
    <t>Digital experience platforms, cloud migration (AWS/Azure/GCP), SaaS development, Drupal solutions, VAPT (penetration testing), social media marketing, dedicated developer hiring</t>
  </si>
  <si>
    <t xml:space="preserve">AI-powered automation, IT/ITES systems integration, enterprise IT solutions, proprietary data center, document management system (SFT Dox), HRMS platform, cloud infrastructure, digital transformation consulting </t>
  </si>
  <si>
    <t>Web &amp; app development (Web 2.0 &amp; 3.0), AI/ML, blockchain, digital marketing, cloud solutions, product design, low-code/no-code, business intelligence, dedicated hiring, IT staffing, DevOps, UI/UX design</t>
  </si>
  <si>
    <t xml:space="preserve">Digital &amp; AI product engineering, technology transformation, CX consulting, platform engineering, software re-engineering, RPA, machine learning, big data, automation, cloud-based enterprise solutions </t>
  </si>
  <si>
    <t>Company</t>
  </si>
  <si>
    <t>App Dev</t>
  </si>
  <si>
    <t>Web Dev</t>
  </si>
  <si>
    <t>Digital Marketing</t>
  </si>
  <si>
    <t>Digital Transformation</t>
  </si>
  <si>
    <t>SEO</t>
  </si>
  <si>
    <t>Client Strength</t>
  </si>
  <si>
    <t>Experience</t>
  </si>
  <si>
    <t>Total Score</t>
  </si>
  <si>
    <t>Indus Net Technologies</t>
  </si>
  <si>
    <t>Web Spiders</t>
  </si>
  <si>
    <t>Weavers Web Solutions</t>
  </si>
  <si>
    <t>Shyam Future Tech</t>
  </si>
  <si>
    <t>Matrix Media Solutions</t>
  </si>
  <si>
    <t>Growth Loops Technology</t>
  </si>
  <si>
    <t>Zebra Techies (ZTS)</t>
  </si>
  <si>
    <t>Magicmind Technologies</t>
  </si>
  <si>
    <t>Primary Infotech</t>
  </si>
  <si>
    <t>aQb Solutions</t>
  </si>
  <si>
    <t>Pitangent Analytics</t>
  </si>
  <si>
    <t>Blue Copper Technologies</t>
  </si>
  <si>
    <t>Mass Software Solutions</t>
  </si>
  <si>
    <t>Polestar Analytics</t>
  </si>
  <si>
    <t>ThirdEye Data</t>
  </si>
  <si>
    <t>AOTWO Web &amp; Tech</t>
  </si>
  <si>
    <t>Innovacio Technologies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</si>
</sst>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9D107-0E48-644E-B395-33DE38DB6D0F}">
  <dimension ref="A1:E9"/>
  <sheetViews>
    <sheetView workbookViewId="0">
      <selection activeCell="C3" sqref="C3"/>
    </sheetView>
  </sheetViews>
  <sheetFormatPr baseColWidth="10" defaultRowHeight="16" x14ac:dyDescent="0.2"/>
  <cols>
    <col min="1" max="1" width="28.5" style="1" customWidth="1"/>
    <col min="2" max="2" width="57.33203125" style="1" customWidth="1"/>
    <col min="3" max="3" width="68.83203125" style="1" customWidth="1"/>
    <col min="4" max="4" width="55" style="1" customWidth="1"/>
    <col min="5" max="5" width="27" style="1" customWidth="1"/>
    <col min="6" max="16384" width="10.83203125" style="1"/>
  </cols>
  <sheetData>
    <row r="1" spans="1:5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63" customHeight="1" x14ac:dyDescent="0.2">
      <c r="A2" s="1" t="s">
        <v>5</v>
      </c>
      <c r="B2" s="1" t="s">
        <v>23</v>
      </c>
      <c r="C2" s="1" t="s">
        <v>31</v>
      </c>
      <c r="D2" s="1" t="s">
        <v>24</v>
      </c>
      <c r="E2" s="1" t="s">
        <v>6</v>
      </c>
    </row>
    <row r="3" spans="1:5" ht="107" customHeight="1" x14ac:dyDescent="0.2">
      <c r="A3" s="1" t="s">
        <v>14</v>
      </c>
      <c r="B3" s="1" t="s">
        <v>39</v>
      </c>
      <c r="C3" s="1" t="s">
        <v>32</v>
      </c>
      <c r="D3" s="1" t="s">
        <v>25</v>
      </c>
      <c r="E3" s="1" t="s">
        <v>6</v>
      </c>
    </row>
    <row r="4" spans="1:5" ht="71" customHeight="1" x14ac:dyDescent="0.2">
      <c r="A4" s="1" t="s">
        <v>19</v>
      </c>
      <c r="B4" s="1" t="s">
        <v>29</v>
      </c>
      <c r="C4" s="1" t="s">
        <v>34</v>
      </c>
      <c r="D4" s="1" t="s">
        <v>26</v>
      </c>
      <c r="E4" s="1" t="s">
        <v>28</v>
      </c>
    </row>
    <row r="5" spans="1:5" ht="81" customHeight="1" x14ac:dyDescent="0.2">
      <c r="A5" s="1" t="s">
        <v>22</v>
      </c>
      <c r="B5" s="1" t="s">
        <v>40</v>
      </c>
      <c r="C5" s="1" t="s">
        <v>33</v>
      </c>
      <c r="D5" s="1" t="s">
        <v>27</v>
      </c>
      <c r="E5" s="1" t="s">
        <v>11</v>
      </c>
    </row>
    <row r="6" spans="1:5" ht="92" customHeight="1" x14ac:dyDescent="0.2">
      <c r="A6" s="1" t="s">
        <v>9</v>
      </c>
      <c r="B6" s="1" t="s">
        <v>41</v>
      </c>
      <c r="C6" s="1" t="s">
        <v>35</v>
      </c>
      <c r="D6" s="1" t="s">
        <v>10</v>
      </c>
      <c r="E6" s="1" t="s">
        <v>11</v>
      </c>
    </row>
    <row r="7" spans="1:5" ht="84" customHeight="1" x14ac:dyDescent="0.2">
      <c r="A7" s="1" t="s">
        <v>15</v>
      </c>
      <c r="B7" s="1" t="s">
        <v>30</v>
      </c>
      <c r="C7" s="1" t="s">
        <v>36</v>
      </c>
      <c r="D7" s="1" t="s">
        <v>16</v>
      </c>
      <c r="E7" s="1" t="s">
        <v>11</v>
      </c>
    </row>
    <row r="8" spans="1:5" ht="80" customHeight="1" x14ac:dyDescent="0.2">
      <c r="A8" s="1" t="s">
        <v>17</v>
      </c>
      <c r="B8" s="1" t="s">
        <v>42</v>
      </c>
      <c r="C8" s="1" t="s">
        <v>37</v>
      </c>
      <c r="D8" s="1" t="s">
        <v>18</v>
      </c>
      <c r="E8" s="1" t="s">
        <v>11</v>
      </c>
    </row>
    <row r="9" spans="1:5" ht="84" customHeight="1" x14ac:dyDescent="0.2">
      <c r="A9" s="1" t="s">
        <v>20</v>
      </c>
      <c r="B9" s="1" t="s">
        <v>43</v>
      </c>
      <c r="C9" s="1" t="s">
        <v>38</v>
      </c>
      <c r="D9" s="1" t="s">
        <v>21</v>
      </c>
      <c r="E9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E04AE-8735-4147-9564-C12CB3E92561}">
  <dimension ref="A1:E11"/>
  <sheetViews>
    <sheetView workbookViewId="0">
      <selection activeCell="B3" sqref="B3"/>
    </sheetView>
  </sheetViews>
  <sheetFormatPr baseColWidth="10" defaultRowHeight="16" x14ac:dyDescent="0.2"/>
  <cols>
    <col min="1" max="1" width="30.33203125" style="1" customWidth="1"/>
    <col min="2" max="2" width="65.1640625" style="1" customWidth="1"/>
    <col min="3" max="3" width="69.5" style="1" customWidth="1"/>
    <col min="4" max="4" width="50.83203125" style="1" customWidth="1"/>
    <col min="5" max="5" width="20.6640625" style="1" bestFit="1" customWidth="1"/>
    <col min="6" max="16384" width="10.83203125" style="1"/>
  </cols>
  <sheetData>
    <row r="1" spans="1:5" ht="37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1" x14ac:dyDescent="0.2">
      <c r="A2" s="1" t="s">
        <v>44</v>
      </c>
      <c r="B2" s="1" t="s">
        <v>45</v>
      </c>
      <c r="C2" s="1" t="s">
        <v>46</v>
      </c>
      <c r="D2" s="1" t="s">
        <v>47</v>
      </c>
      <c r="E2" s="1" t="s">
        <v>8</v>
      </c>
    </row>
    <row r="3" spans="1:5" ht="34" x14ac:dyDescent="0.2">
      <c r="A3" s="1" t="s">
        <v>7</v>
      </c>
      <c r="B3" s="1" t="s">
        <v>48</v>
      </c>
      <c r="C3" s="1" t="s">
        <v>74</v>
      </c>
      <c r="D3" s="1" t="s">
        <v>49</v>
      </c>
      <c r="E3" s="1" t="s">
        <v>8</v>
      </c>
    </row>
    <row r="4" spans="1:5" ht="68" x14ac:dyDescent="0.2">
      <c r="A4" s="1" t="s">
        <v>50</v>
      </c>
      <c r="B4" s="1" t="s">
        <v>51</v>
      </c>
      <c r="C4" s="1" t="s">
        <v>52</v>
      </c>
      <c r="D4" s="1" t="s">
        <v>53</v>
      </c>
      <c r="E4" s="1" t="s">
        <v>8</v>
      </c>
    </row>
    <row r="5" spans="1:5" ht="51" x14ac:dyDescent="0.2">
      <c r="A5" s="1" t="s">
        <v>14</v>
      </c>
      <c r="B5" s="1" t="s">
        <v>54</v>
      </c>
      <c r="C5" s="1" t="s">
        <v>32</v>
      </c>
      <c r="D5" s="1" t="s">
        <v>55</v>
      </c>
      <c r="E5" s="1" t="s">
        <v>8</v>
      </c>
    </row>
    <row r="6" spans="1:5" ht="34" x14ac:dyDescent="0.2">
      <c r="A6" s="1" t="s">
        <v>56</v>
      </c>
      <c r="B6" s="1" t="s">
        <v>57</v>
      </c>
      <c r="C6" s="1" t="s">
        <v>58</v>
      </c>
      <c r="D6" s="1" t="s">
        <v>59</v>
      </c>
      <c r="E6" s="1" t="s">
        <v>8</v>
      </c>
    </row>
    <row r="7" spans="1:5" ht="51" x14ac:dyDescent="0.2">
      <c r="A7" s="1" t="s">
        <v>5</v>
      </c>
      <c r="B7" s="1" t="s">
        <v>23</v>
      </c>
      <c r="C7" s="1" t="s">
        <v>60</v>
      </c>
      <c r="D7" s="1" t="s">
        <v>24</v>
      </c>
      <c r="E7" s="1" t="s">
        <v>6</v>
      </c>
    </row>
    <row r="8" spans="1:5" ht="34" x14ac:dyDescent="0.2">
      <c r="A8" s="1" t="s">
        <v>12</v>
      </c>
      <c r="B8" s="1" t="s">
        <v>61</v>
      </c>
      <c r="C8" s="1" t="s">
        <v>13</v>
      </c>
      <c r="D8" s="1" t="s">
        <v>62</v>
      </c>
      <c r="E8" s="1" t="s">
        <v>28</v>
      </c>
    </row>
    <row r="9" spans="1:5" ht="68" x14ac:dyDescent="0.2">
      <c r="A9" s="1" t="s">
        <v>19</v>
      </c>
      <c r="B9" s="1" t="s">
        <v>63</v>
      </c>
      <c r="C9" s="1" t="s">
        <v>64</v>
      </c>
      <c r="D9" s="1" t="s">
        <v>65</v>
      </c>
      <c r="E9" s="1" t="s">
        <v>28</v>
      </c>
    </row>
    <row r="10" spans="1:5" ht="51" x14ac:dyDescent="0.2">
      <c r="A10" s="1" t="s">
        <v>66</v>
      </c>
      <c r="B10" s="1" t="s">
        <v>67</v>
      </c>
      <c r="C10" s="1" t="s">
        <v>68</v>
      </c>
      <c r="D10" s="1" t="s">
        <v>69</v>
      </c>
      <c r="E10" s="1" t="s">
        <v>70</v>
      </c>
    </row>
    <row r="11" spans="1:5" ht="68" x14ac:dyDescent="0.2">
      <c r="A11" s="1" t="s">
        <v>71</v>
      </c>
      <c r="B11" s="1" t="s">
        <v>72</v>
      </c>
      <c r="C11" s="1" t="s">
        <v>75</v>
      </c>
      <c r="D11" s="1" t="s">
        <v>73</v>
      </c>
      <c r="E11" s="1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95528-23F8-BC4D-A0E8-57E620A26742}">
  <dimension ref="A1:E11"/>
  <sheetViews>
    <sheetView topLeftCell="A4" workbookViewId="0">
      <selection activeCell="C9" sqref="C9"/>
    </sheetView>
  </sheetViews>
  <sheetFormatPr baseColWidth="10" defaultRowHeight="16" x14ac:dyDescent="0.2"/>
  <cols>
    <col min="1" max="1" width="32.83203125" style="1" customWidth="1"/>
    <col min="2" max="2" width="53.6640625" style="1" customWidth="1"/>
    <col min="3" max="3" width="56" style="1" customWidth="1"/>
    <col min="4" max="4" width="48.83203125" style="1" customWidth="1"/>
    <col min="5" max="5" width="22.6640625" style="1" customWidth="1"/>
    <col min="6" max="16384" width="10.83203125" style="1"/>
  </cols>
  <sheetData>
    <row r="1" spans="1:5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1" x14ac:dyDescent="0.2">
      <c r="A2" s="1" t="s">
        <v>76</v>
      </c>
      <c r="B2" s="1" t="s">
        <v>77</v>
      </c>
      <c r="C2" s="1" t="s">
        <v>78</v>
      </c>
      <c r="D2" s="1" t="s">
        <v>79</v>
      </c>
      <c r="E2" s="1" t="s">
        <v>11</v>
      </c>
    </row>
    <row r="3" spans="1:5" ht="68" x14ac:dyDescent="0.2">
      <c r="A3" s="1" t="s">
        <v>80</v>
      </c>
      <c r="B3" s="1" t="s">
        <v>81</v>
      </c>
      <c r="C3" s="1" t="s">
        <v>82</v>
      </c>
      <c r="D3" s="1" t="s">
        <v>100</v>
      </c>
      <c r="E3" s="1" t="s">
        <v>8</v>
      </c>
    </row>
    <row r="4" spans="1:5" ht="34" x14ac:dyDescent="0.2">
      <c r="A4" s="1" t="s">
        <v>83</v>
      </c>
      <c r="B4" s="1" t="s">
        <v>116</v>
      </c>
      <c r="C4" s="1" t="s">
        <v>101</v>
      </c>
      <c r="D4" s="1" t="s">
        <v>102</v>
      </c>
      <c r="E4" s="1" t="s">
        <v>8</v>
      </c>
    </row>
    <row r="5" spans="1:5" ht="51" x14ac:dyDescent="0.2">
      <c r="A5" s="1" t="s">
        <v>84</v>
      </c>
      <c r="B5" s="1" t="s">
        <v>103</v>
      </c>
      <c r="C5" s="1" t="s">
        <v>104</v>
      </c>
      <c r="D5" s="1" t="s">
        <v>105</v>
      </c>
      <c r="E5" s="1" t="s">
        <v>106</v>
      </c>
    </row>
    <row r="6" spans="1:5" ht="51" x14ac:dyDescent="0.2">
      <c r="A6" s="1" t="s">
        <v>20</v>
      </c>
      <c r="B6" s="1" t="s">
        <v>85</v>
      </c>
      <c r="C6" s="1" t="s">
        <v>86</v>
      </c>
      <c r="D6" s="1" t="s">
        <v>87</v>
      </c>
      <c r="E6" s="1" t="s">
        <v>8</v>
      </c>
    </row>
    <row r="7" spans="1:5" ht="51" x14ac:dyDescent="0.2">
      <c r="A7" s="1" t="s">
        <v>88</v>
      </c>
      <c r="B7" s="1" t="s">
        <v>107</v>
      </c>
      <c r="C7" s="1" t="s">
        <v>108</v>
      </c>
      <c r="D7" s="1" t="s">
        <v>109</v>
      </c>
      <c r="E7" s="1" t="s">
        <v>110</v>
      </c>
    </row>
    <row r="8" spans="1:5" ht="51" x14ac:dyDescent="0.2">
      <c r="A8" s="1" t="s">
        <v>89</v>
      </c>
      <c r="B8" s="1" t="s">
        <v>111</v>
      </c>
      <c r="C8" s="1" t="s">
        <v>117</v>
      </c>
      <c r="D8" s="1" t="s">
        <v>112</v>
      </c>
      <c r="E8" s="1" t="s">
        <v>113</v>
      </c>
    </row>
    <row r="9" spans="1:5" ht="68" x14ac:dyDescent="0.2">
      <c r="A9" s="1" t="s">
        <v>90</v>
      </c>
      <c r="B9" s="1" t="s">
        <v>91</v>
      </c>
      <c r="C9" s="1" t="s">
        <v>92</v>
      </c>
      <c r="D9" s="1" t="s">
        <v>93</v>
      </c>
      <c r="E9" s="1" t="s">
        <v>6</v>
      </c>
    </row>
    <row r="10" spans="1:5" ht="34" x14ac:dyDescent="0.2">
      <c r="A10" s="1" t="s">
        <v>94</v>
      </c>
      <c r="B10" s="1" t="s">
        <v>95</v>
      </c>
      <c r="C10" s="1" t="s">
        <v>96</v>
      </c>
      <c r="D10" s="1" t="s">
        <v>114</v>
      </c>
      <c r="E10" s="1" t="s">
        <v>11</v>
      </c>
    </row>
    <row r="11" spans="1:5" ht="51" x14ac:dyDescent="0.2">
      <c r="A11" s="1" t="s">
        <v>97</v>
      </c>
      <c r="B11" s="1" t="s">
        <v>98</v>
      </c>
      <c r="C11" s="1" t="s">
        <v>99</v>
      </c>
      <c r="D11" s="1" t="s">
        <v>115</v>
      </c>
      <c r="E1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3C257-6841-D14A-91A1-0C5E9748B2BA}">
  <dimension ref="A1:E11"/>
  <sheetViews>
    <sheetView workbookViewId="0">
      <selection activeCell="B5" sqref="B5"/>
    </sheetView>
  </sheetViews>
  <sheetFormatPr baseColWidth="10" defaultRowHeight="16" x14ac:dyDescent="0.2"/>
  <cols>
    <col min="1" max="1" width="32.1640625" style="1" customWidth="1"/>
    <col min="2" max="2" width="54.33203125" style="1" customWidth="1"/>
    <col min="3" max="3" width="43.6640625" style="1" customWidth="1"/>
    <col min="4" max="4" width="53.83203125" style="1" customWidth="1"/>
    <col min="5" max="5" width="32.6640625" style="1" customWidth="1"/>
    <col min="6" max="16384" width="10.83203125" style="1"/>
  </cols>
  <sheetData>
    <row r="1" spans="1:5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1" x14ac:dyDescent="0.2">
      <c r="A2" s="1" t="s">
        <v>80</v>
      </c>
      <c r="B2" s="1" t="s">
        <v>118</v>
      </c>
      <c r="C2" s="1" t="s">
        <v>119</v>
      </c>
      <c r="D2" s="1" t="s">
        <v>120</v>
      </c>
      <c r="E2" s="1" t="s">
        <v>8</v>
      </c>
    </row>
    <row r="3" spans="1:5" ht="51" x14ac:dyDescent="0.2">
      <c r="A3" s="1" t="s">
        <v>76</v>
      </c>
      <c r="B3" s="1" t="s">
        <v>77</v>
      </c>
      <c r="C3" s="1" t="s">
        <v>78</v>
      </c>
      <c r="D3" s="1" t="s">
        <v>121</v>
      </c>
      <c r="E3" s="1" t="s">
        <v>11</v>
      </c>
    </row>
    <row r="4" spans="1:5" ht="68" x14ac:dyDescent="0.2">
      <c r="A4" s="1" t="s">
        <v>90</v>
      </c>
      <c r="B4" s="1" t="s">
        <v>91</v>
      </c>
      <c r="C4" s="1" t="s">
        <v>92</v>
      </c>
      <c r="D4" s="1" t="s">
        <v>122</v>
      </c>
      <c r="E4" s="1" t="s">
        <v>6</v>
      </c>
    </row>
    <row r="5" spans="1:5" ht="68" x14ac:dyDescent="0.2">
      <c r="A5" s="1" t="s">
        <v>97</v>
      </c>
      <c r="B5" s="1" t="s">
        <v>123</v>
      </c>
      <c r="C5" s="1" t="s">
        <v>124</v>
      </c>
      <c r="D5" s="1" t="s">
        <v>125</v>
      </c>
      <c r="E5" s="1" t="s">
        <v>8</v>
      </c>
    </row>
    <row r="6" spans="1:5" ht="51" x14ac:dyDescent="0.2">
      <c r="A6" s="1" t="s">
        <v>126</v>
      </c>
      <c r="B6" s="1" t="s">
        <v>147</v>
      </c>
      <c r="C6" s="1" t="s">
        <v>127</v>
      </c>
      <c r="D6" s="1" t="s">
        <v>128</v>
      </c>
      <c r="E6" s="1" t="s">
        <v>8</v>
      </c>
    </row>
    <row r="7" spans="1:5" ht="51" x14ac:dyDescent="0.2">
      <c r="A7" s="1" t="s">
        <v>129</v>
      </c>
      <c r="B7" s="1" t="s">
        <v>148</v>
      </c>
      <c r="C7" s="1" t="s">
        <v>130</v>
      </c>
      <c r="D7" s="1" t="s">
        <v>131</v>
      </c>
      <c r="E7" s="1" t="s">
        <v>8</v>
      </c>
    </row>
    <row r="8" spans="1:5" ht="68" x14ac:dyDescent="0.2">
      <c r="A8" s="1" t="s">
        <v>132</v>
      </c>
      <c r="B8" s="1" t="s">
        <v>133</v>
      </c>
      <c r="C8" s="1" t="s">
        <v>134</v>
      </c>
      <c r="D8" s="1" t="s">
        <v>135</v>
      </c>
      <c r="E8" s="1" t="s">
        <v>8</v>
      </c>
    </row>
    <row r="9" spans="1:5" ht="51" x14ac:dyDescent="0.2">
      <c r="A9" s="1" t="s">
        <v>136</v>
      </c>
      <c r="B9" s="1" t="s">
        <v>137</v>
      </c>
      <c r="C9" s="1" t="s">
        <v>138</v>
      </c>
      <c r="D9" s="1" t="s">
        <v>139</v>
      </c>
      <c r="E9" s="1" t="s">
        <v>8</v>
      </c>
    </row>
    <row r="10" spans="1:5" ht="51" x14ac:dyDescent="0.2">
      <c r="A10" s="1" t="s">
        <v>88</v>
      </c>
      <c r="B10" s="1" t="s">
        <v>140</v>
      </c>
      <c r="C10" s="1" t="s">
        <v>141</v>
      </c>
      <c r="D10" s="1" t="s">
        <v>142</v>
      </c>
      <c r="E10" s="1" t="s">
        <v>8</v>
      </c>
    </row>
    <row r="11" spans="1:5" ht="85" x14ac:dyDescent="0.2">
      <c r="A11" s="1" t="s">
        <v>143</v>
      </c>
      <c r="B11" s="1" t="s">
        <v>144</v>
      </c>
      <c r="C11" s="1" t="s">
        <v>145</v>
      </c>
      <c r="D11" s="1" t="s">
        <v>146</v>
      </c>
      <c r="E1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6C672-2953-5141-BEA9-1C283EC83EF2}">
  <dimension ref="A1:E11"/>
  <sheetViews>
    <sheetView topLeftCell="A7" workbookViewId="0">
      <selection activeCell="D3" sqref="D3"/>
    </sheetView>
  </sheetViews>
  <sheetFormatPr baseColWidth="10" defaultRowHeight="16" x14ac:dyDescent="0.2"/>
  <cols>
    <col min="1" max="1" width="32.6640625" style="1" customWidth="1"/>
    <col min="2" max="2" width="47.83203125" style="1" customWidth="1"/>
    <col min="3" max="3" width="53.5" style="1" customWidth="1"/>
    <col min="4" max="4" width="42.83203125" style="1" customWidth="1"/>
    <col min="5" max="5" width="31.1640625" style="1" customWidth="1"/>
    <col min="6" max="16384" width="10.83203125" style="1"/>
  </cols>
  <sheetData>
    <row r="1" spans="1:5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85" x14ac:dyDescent="0.2">
      <c r="A2" s="1" t="s">
        <v>149</v>
      </c>
      <c r="B2" s="1" t="s">
        <v>180</v>
      </c>
      <c r="C2" s="1" t="s">
        <v>150</v>
      </c>
      <c r="D2" s="1" t="s">
        <v>151</v>
      </c>
      <c r="E2" s="1" t="s">
        <v>152</v>
      </c>
    </row>
    <row r="3" spans="1:5" ht="85" x14ac:dyDescent="0.2">
      <c r="A3" s="1" t="s">
        <v>153</v>
      </c>
      <c r="B3" s="1" t="s">
        <v>181</v>
      </c>
      <c r="C3" s="1" t="s">
        <v>154</v>
      </c>
      <c r="D3" s="1" t="s">
        <v>155</v>
      </c>
      <c r="E3" s="1" t="s">
        <v>156</v>
      </c>
    </row>
    <row r="4" spans="1:5" ht="85" x14ac:dyDescent="0.2">
      <c r="A4" s="1" t="s">
        <v>157</v>
      </c>
      <c r="B4" s="1" t="s">
        <v>182</v>
      </c>
      <c r="C4" s="1" t="s">
        <v>158</v>
      </c>
      <c r="D4" s="1" t="s">
        <v>192</v>
      </c>
      <c r="E4" s="1" t="s">
        <v>159</v>
      </c>
    </row>
    <row r="5" spans="1:5" ht="85" x14ac:dyDescent="0.2">
      <c r="A5" s="1" t="s">
        <v>20</v>
      </c>
      <c r="B5" s="1" t="s">
        <v>183</v>
      </c>
      <c r="C5" s="1" t="s">
        <v>160</v>
      </c>
      <c r="D5" s="1" t="s">
        <v>191</v>
      </c>
      <c r="E5" s="1" t="s">
        <v>161</v>
      </c>
    </row>
    <row r="6" spans="1:5" ht="85" x14ac:dyDescent="0.2">
      <c r="A6" s="1" t="s">
        <v>15</v>
      </c>
      <c r="B6" s="1" t="s">
        <v>184</v>
      </c>
      <c r="C6" s="1" t="s">
        <v>172</v>
      </c>
      <c r="D6" s="1" t="s">
        <v>190</v>
      </c>
      <c r="E6" s="1" t="s">
        <v>6</v>
      </c>
    </row>
    <row r="7" spans="1:5" ht="68" x14ac:dyDescent="0.2">
      <c r="A7" s="1" t="s">
        <v>162</v>
      </c>
      <c r="B7" s="1" t="s">
        <v>169</v>
      </c>
      <c r="C7" s="1" t="s">
        <v>173</v>
      </c>
      <c r="D7" s="1" t="s">
        <v>189</v>
      </c>
      <c r="E7" s="1" t="s">
        <v>8</v>
      </c>
    </row>
    <row r="8" spans="1:5" ht="85" x14ac:dyDescent="0.2">
      <c r="A8" s="1" t="s">
        <v>163</v>
      </c>
      <c r="B8" s="1" t="s">
        <v>170</v>
      </c>
      <c r="C8" s="1" t="s">
        <v>174</v>
      </c>
      <c r="D8" s="1" t="s">
        <v>188</v>
      </c>
      <c r="E8" s="1" t="s">
        <v>6</v>
      </c>
    </row>
    <row r="9" spans="1:5" ht="85" x14ac:dyDescent="0.2">
      <c r="A9" s="1" t="s">
        <v>164</v>
      </c>
      <c r="B9" s="1" t="s">
        <v>171</v>
      </c>
      <c r="C9" s="1" t="s">
        <v>175</v>
      </c>
      <c r="D9" s="1" t="s">
        <v>187</v>
      </c>
      <c r="E9" s="1" t="s">
        <v>165</v>
      </c>
    </row>
    <row r="10" spans="1:5" ht="102" x14ac:dyDescent="0.2">
      <c r="A10" s="1" t="s">
        <v>166</v>
      </c>
      <c r="B10" s="1" t="s">
        <v>177</v>
      </c>
      <c r="C10" s="1" t="s">
        <v>176</v>
      </c>
      <c r="D10" s="1" t="s">
        <v>186</v>
      </c>
      <c r="E10" s="1" t="s">
        <v>8</v>
      </c>
    </row>
    <row r="11" spans="1:5" ht="102" x14ac:dyDescent="0.2">
      <c r="A11" s="1" t="s">
        <v>167</v>
      </c>
      <c r="B11" s="1" t="s">
        <v>179</v>
      </c>
      <c r="C11" s="1" t="s">
        <v>168</v>
      </c>
      <c r="D11" s="1" t="s">
        <v>185</v>
      </c>
      <c r="E11" s="1" t="s">
        <v>178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C8098-70B6-EF43-897D-B9985453C4A5}">
  <dimension ref="A1:I36"/>
  <sheetViews>
    <sheetView tabSelected="1" workbookViewId="0">
      <selection sqref="A1:XFD1048576"/>
    </sheetView>
  </sheetViews>
  <sheetFormatPr baseColWidth="10" defaultRowHeight="16" x14ac:dyDescent="0.2"/>
  <cols>
    <col min="1" max="1" width="22" style="1" customWidth="1"/>
    <col min="2" max="2" width="19" style="1" customWidth="1"/>
    <col min="3" max="3" width="18.33203125" style="1" customWidth="1"/>
    <col min="4" max="4" width="19.33203125" style="1" customWidth="1"/>
    <col min="5" max="5" width="17" style="1" customWidth="1"/>
    <col min="6" max="6" width="15.33203125" style="1" customWidth="1"/>
    <col min="7" max="7" width="14.83203125" style="1" customWidth="1"/>
    <col min="8" max="8" width="15.5" style="1" customWidth="1"/>
    <col min="9" max="16384" width="10.83203125" style="1"/>
  </cols>
  <sheetData>
    <row r="1" spans="1:9" ht="34" x14ac:dyDescent="0.2">
      <c r="A1" s="1" t="s">
        <v>193</v>
      </c>
      <c r="B1" s="1" t="s">
        <v>194</v>
      </c>
      <c r="C1" s="1" t="s">
        <v>195</v>
      </c>
      <c r="D1" s="1" t="s">
        <v>196</v>
      </c>
      <c r="E1" s="1" t="s">
        <v>197</v>
      </c>
      <c r="F1" s="1" t="s">
        <v>198</v>
      </c>
      <c r="G1" s="1" t="s">
        <v>199</v>
      </c>
      <c r="H1" s="1" t="s">
        <v>200</v>
      </c>
      <c r="I1" s="1" t="s">
        <v>201</v>
      </c>
    </row>
    <row r="2" spans="1:9" ht="17" x14ac:dyDescent="0.2">
      <c r="A2" s="1" t="s">
        <v>7</v>
      </c>
      <c r="B2" s="1">
        <v>4</v>
      </c>
      <c r="C2" s="1">
        <v>5</v>
      </c>
      <c r="D2" s="1">
        <v>4</v>
      </c>
      <c r="E2" s="1">
        <v>4</v>
      </c>
      <c r="F2" s="1">
        <v>4</v>
      </c>
      <c r="G2" s="1">
        <v>5</v>
      </c>
      <c r="H2" s="1">
        <v>5</v>
      </c>
      <c r="I2" s="1">
        <f t="shared" ref="I2:I36" si="0">VALUE(B2*0.15+C2*0.15+D2*0.15+E2*0.15+F2*0.15+G2*0.125+H2*0.125)</f>
        <v>4.4000000000000004</v>
      </c>
    </row>
    <row r="3" spans="1:9" ht="17" x14ac:dyDescent="0.2">
      <c r="A3" s="1" t="s">
        <v>202</v>
      </c>
      <c r="B3" s="1">
        <v>4</v>
      </c>
      <c r="C3" s="1">
        <v>5</v>
      </c>
      <c r="D3" s="1">
        <v>4</v>
      </c>
      <c r="E3" s="1">
        <v>4</v>
      </c>
      <c r="F3" s="1">
        <v>4</v>
      </c>
      <c r="G3" s="1">
        <v>5</v>
      </c>
      <c r="H3" s="1">
        <v>5</v>
      </c>
      <c r="I3" s="1">
        <f t="shared" si="0"/>
        <v>4.4000000000000004</v>
      </c>
    </row>
    <row r="4" spans="1:9" ht="17" x14ac:dyDescent="0.2">
      <c r="A4" s="1" t="s">
        <v>56</v>
      </c>
      <c r="B4" s="1">
        <v>4</v>
      </c>
      <c r="C4" s="1">
        <v>5</v>
      </c>
      <c r="D4" s="1">
        <v>3</v>
      </c>
      <c r="E4" s="1">
        <v>5</v>
      </c>
      <c r="F4" s="1">
        <v>3</v>
      </c>
      <c r="G4" s="1">
        <v>4</v>
      </c>
      <c r="H4" s="1">
        <v>5</v>
      </c>
      <c r="I4" s="1">
        <f t="shared" si="0"/>
        <v>4.125</v>
      </c>
    </row>
    <row r="5" spans="1:9" ht="17" x14ac:dyDescent="0.2">
      <c r="A5" s="1" t="s">
        <v>83</v>
      </c>
      <c r="B5" s="1">
        <v>2</v>
      </c>
      <c r="C5" s="1">
        <v>3</v>
      </c>
      <c r="D5" s="1">
        <v>5</v>
      </c>
      <c r="E5" s="1">
        <v>4</v>
      </c>
      <c r="F5" s="1">
        <v>5</v>
      </c>
      <c r="G5" s="1">
        <v>5</v>
      </c>
      <c r="H5" s="1">
        <v>5</v>
      </c>
      <c r="I5" s="1">
        <f t="shared" si="0"/>
        <v>4.0999999999999996</v>
      </c>
    </row>
    <row r="6" spans="1:9" ht="17" x14ac:dyDescent="0.2">
      <c r="A6" s="1" t="s">
        <v>76</v>
      </c>
      <c r="B6" s="1">
        <v>2</v>
      </c>
      <c r="C6" s="1">
        <v>3</v>
      </c>
      <c r="D6" s="1">
        <v>5</v>
      </c>
      <c r="E6" s="1">
        <v>4</v>
      </c>
      <c r="F6" s="1">
        <v>5</v>
      </c>
      <c r="G6" s="1">
        <v>4</v>
      </c>
      <c r="H6" s="1">
        <v>5</v>
      </c>
      <c r="I6" s="1">
        <f t="shared" si="0"/>
        <v>3.9750000000000001</v>
      </c>
    </row>
    <row r="7" spans="1:9" ht="17" x14ac:dyDescent="0.2">
      <c r="A7" s="1" t="s">
        <v>50</v>
      </c>
      <c r="B7" s="1">
        <v>3</v>
      </c>
      <c r="C7" s="1">
        <v>5</v>
      </c>
      <c r="D7" s="1">
        <v>3</v>
      </c>
      <c r="E7" s="1">
        <v>4</v>
      </c>
      <c r="F7" s="1">
        <v>3</v>
      </c>
      <c r="G7" s="1">
        <v>5</v>
      </c>
      <c r="H7" s="1">
        <v>5</v>
      </c>
      <c r="I7" s="1">
        <f t="shared" si="0"/>
        <v>3.95</v>
      </c>
    </row>
    <row r="8" spans="1:9" ht="34" x14ac:dyDescent="0.2">
      <c r="A8" s="1" t="s">
        <v>19</v>
      </c>
      <c r="B8" s="1">
        <v>3</v>
      </c>
      <c r="C8" s="1">
        <v>4</v>
      </c>
      <c r="D8" s="1">
        <v>4</v>
      </c>
      <c r="E8" s="1">
        <v>3</v>
      </c>
      <c r="F8" s="1">
        <v>4</v>
      </c>
      <c r="G8" s="1">
        <v>5</v>
      </c>
      <c r="H8" s="1">
        <v>5</v>
      </c>
      <c r="I8" s="1">
        <f t="shared" si="0"/>
        <v>3.9499999999999997</v>
      </c>
    </row>
    <row r="9" spans="1:9" ht="17" x14ac:dyDescent="0.2">
      <c r="A9" s="1" t="s">
        <v>157</v>
      </c>
      <c r="B9" s="1">
        <v>4</v>
      </c>
      <c r="C9" s="1">
        <v>4</v>
      </c>
      <c r="D9" s="1">
        <v>3</v>
      </c>
      <c r="E9" s="1">
        <v>5</v>
      </c>
      <c r="F9" s="1">
        <v>3</v>
      </c>
      <c r="G9" s="1">
        <v>4</v>
      </c>
      <c r="H9" s="1">
        <v>4</v>
      </c>
      <c r="I9" s="1">
        <f t="shared" si="0"/>
        <v>3.8499999999999996</v>
      </c>
    </row>
    <row r="10" spans="1:9" ht="17" x14ac:dyDescent="0.2">
      <c r="A10" s="1" t="s">
        <v>66</v>
      </c>
      <c r="B10" s="1">
        <v>5</v>
      </c>
      <c r="C10" s="1">
        <v>4</v>
      </c>
      <c r="D10" s="1">
        <v>2</v>
      </c>
      <c r="E10" s="1">
        <v>5</v>
      </c>
      <c r="F10" s="1">
        <v>2</v>
      </c>
      <c r="G10" s="1">
        <v>4</v>
      </c>
      <c r="H10" s="1">
        <v>5</v>
      </c>
      <c r="I10" s="1">
        <f t="shared" si="0"/>
        <v>3.8250000000000002</v>
      </c>
    </row>
    <row r="11" spans="1:9" ht="17" x14ac:dyDescent="0.2">
      <c r="A11" s="1" t="s">
        <v>203</v>
      </c>
      <c r="B11" s="1">
        <v>3</v>
      </c>
      <c r="C11" s="1">
        <v>4</v>
      </c>
      <c r="D11" s="1">
        <v>3</v>
      </c>
      <c r="E11" s="1">
        <v>5</v>
      </c>
      <c r="F11" s="1">
        <v>3</v>
      </c>
      <c r="G11" s="1">
        <v>4</v>
      </c>
      <c r="H11" s="1">
        <v>5</v>
      </c>
      <c r="I11" s="1">
        <f t="shared" si="0"/>
        <v>3.8250000000000002</v>
      </c>
    </row>
    <row r="12" spans="1:9" ht="17" x14ac:dyDescent="0.2">
      <c r="A12" s="1" t="s">
        <v>204</v>
      </c>
      <c r="B12" s="1">
        <v>3</v>
      </c>
      <c r="C12" s="1">
        <v>4</v>
      </c>
      <c r="D12" s="1">
        <v>4</v>
      </c>
      <c r="E12" s="1">
        <v>3</v>
      </c>
      <c r="F12" s="1">
        <v>4</v>
      </c>
      <c r="G12" s="1">
        <v>4</v>
      </c>
      <c r="H12" s="1">
        <v>4</v>
      </c>
      <c r="I12" s="1">
        <f t="shared" si="0"/>
        <v>3.6999999999999997</v>
      </c>
    </row>
    <row r="13" spans="1:9" ht="17" x14ac:dyDescent="0.2">
      <c r="A13" s="1" t="s">
        <v>205</v>
      </c>
      <c r="B13" s="1">
        <v>3</v>
      </c>
      <c r="C13" s="1">
        <v>4</v>
      </c>
      <c r="D13" s="1">
        <v>4</v>
      </c>
      <c r="E13" s="1">
        <v>4</v>
      </c>
      <c r="F13" s="1">
        <v>4</v>
      </c>
      <c r="G13" s="1">
        <v>3</v>
      </c>
      <c r="H13" s="1">
        <v>3</v>
      </c>
      <c r="I13" s="1">
        <f t="shared" si="0"/>
        <v>3.6</v>
      </c>
    </row>
    <row r="14" spans="1:9" ht="17" x14ac:dyDescent="0.2">
      <c r="A14" s="1" t="s">
        <v>206</v>
      </c>
      <c r="B14" s="1">
        <v>4</v>
      </c>
      <c r="C14" s="1">
        <v>4</v>
      </c>
      <c r="D14" s="1">
        <v>3</v>
      </c>
      <c r="E14" s="1">
        <v>3</v>
      </c>
      <c r="F14" s="1">
        <v>3</v>
      </c>
      <c r="G14" s="1">
        <v>4</v>
      </c>
      <c r="H14" s="1">
        <v>4</v>
      </c>
      <c r="I14" s="1">
        <f t="shared" si="0"/>
        <v>3.55</v>
      </c>
    </row>
    <row r="15" spans="1:9" ht="17" x14ac:dyDescent="0.2">
      <c r="A15" s="1" t="s">
        <v>14</v>
      </c>
      <c r="B15" s="1">
        <v>4</v>
      </c>
      <c r="C15" s="1">
        <v>4</v>
      </c>
      <c r="D15" s="1">
        <v>3</v>
      </c>
      <c r="E15" s="1">
        <v>3</v>
      </c>
      <c r="F15" s="1">
        <v>3</v>
      </c>
      <c r="G15" s="1">
        <v>4</v>
      </c>
      <c r="H15" s="1">
        <v>4</v>
      </c>
      <c r="I15" s="1">
        <f t="shared" si="0"/>
        <v>3.55</v>
      </c>
    </row>
    <row r="16" spans="1:9" ht="34" x14ac:dyDescent="0.2">
      <c r="A16" s="1" t="s">
        <v>207</v>
      </c>
      <c r="B16" s="1">
        <v>4</v>
      </c>
      <c r="C16" s="1">
        <v>3</v>
      </c>
      <c r="D16" s="1">
        <v>3</v>
      </c>
      <c r="E16" s="1">
        <v>4</v>
      </c>
      <c r="F16" s="1">
        <v>3</v>
      </c>
      <c r="G16" s="1">
        <v>4</v>
      </c>
      <c r="H16" s="1">
        <v>4</v>
      </c>
      <c r="I16" s="1">
        <f t="shared" si="0"/>
        <v>3.55</v>
      </c>
    </row>
    <row r="17" spans="1:9" ht="17" x14ac:dyDescent="0.2">
      <c r="A17" s="1" t="s">
        <v>20</v>
      </c>
      <c r="B17" s="1">
        <v>5</v>
      </c>
      <c r="C17" s="1">
        <v>4</v>
      </c>
      <c r="D17" s="1">
        <v>2</v>
      </c>
      <c r="E17" s="1">
        <v>4</v>
      </c>
      <c r="F17" s="1">
        <v>2</v>
      </c>
      <c r="G17" s="1">
        <v>4</v>
      </c>
      <c r="H17" s="1">
        <v>4</v>
      </c>
      <c r="I17" s="1">
        <f t="shared" si="0"/>
        <v>3.55</v>
      </c>
    </row>
    <row r="18" spans="1:9" ht="17" x14ac:dyDescent="0.2">
      <c r="A18" s="1" t="s">
        <v>149</v>
      </c>
      <c r="B18" s="1">
        <v>4</v>
      </c>
      <c r="C18" s="1">
        <v>4</v>
      </c>
      <c r="D18" s="1">
        <v>1</v>
      </c>
      <c r="E18" s="1">
        <v>5</v>
      </c>
      <c r="F18" s="1">
        <v>1</v>
      </c>
      <c r="G18" s="1">
        <v>5</v>
      </c>
      <c r="H18" s="1">
        <v>5</v>
      </c>
      <c r="I18" s="1">
        <f t="shared" si="0"/>
        <v>3.4999999999999996</v>
      </c>
    </row>
    <row r="19" spans="1:9" ht="17" x14ac:dyDescent="0.2">
      <c r="A19" s="1" t="s">
        <v>208</v>
      </c>
      <c r="B19" s="1">
        <v>2</v>
      </c>
      <c r="C19" s="1">
        <v>3</v>
      </c>
      <c r="D19" s="1">
        <v>4</v>
      </c>
      <c r="E19" s="1">
        <v>3</v>
      </c>
      <c r="F19" s="1">
        <v>4</v>
      </c>
      <c r="G19" s="1">
        <v>4</v>
      </c>
      <c r="H19" s="1">
        <v>4</v>
      </c>
      <c r="I19" s="1">
        <f t="shared" si="0"/>
        <v>3.4</v>
      </c>
    </row>
    <row r="20" spans="1:9" ht="17" x14ac:dyDescent="0.2">
      <c r="A20" s="1" t="s">
        <v>88</v>
      </c>
      <c r="B20" s="1">
        <v>2</v>
      </c>
      <c r="C20" s="1">
        <v>3</v>
      </c>
      <c r="D20" s="1">
        <v>4</v>
      </c>
      <c r="E20" s="1">
        <v>3</v>
      </c>
      <c r="F20" s="1">
        <v>4</v>
      </c>
      <c r="G20" s="1">
        <v>4</v>
      </c>
      <c r="H20" s="1">
        <v>4</v>
      </c>
      <c r="I20" s="1">
        <f t="shared" si="0"/>
        <v>3.4</v>
      </c>
    </row>
    <row r="21" spans="1:9" ht="17" x14ac:dyDescent="0.2">
      <c r="A21" s="1" t="s">
        <v>209</v>
      </c>
      <c r="B21" s="1">
        <v>3</v>
      </c>
      <c r="C21" s="1">
        <v>4</v>
      </c>
      <c r="D21" s="1">
        <v>3</v>
      </c>
      <c r="E21" s="1">
        <v>3</v>
      </c>
      <c r="F21" s="1">
        <v>3</v>
      </c>
      <c r="G21" s="1">
        <v>4</v>
      </c>
      <c r="H21" s="1">
        <v>4</v>
      </c>
      <c r="I21" s="1">
        <f t="shared" si="0"/>
        <v>3.3999999999999995</v>
      </c>
    </row>
    <row r="22" spans="1:9" ht="17" x14ac:dyDescent="0.2">
      <c r="A22" s="1" t="s">
        <v>210</v>
      </c>
      <c r="B22" s="1">
        <v>3</v>
      </c>
      <c r="C22" s="1">
        <v>4</v>
      </c>
      <c r="D22" s="1">
        <v>3</v>
      </c>
      <c r="E22" s="1">
        <v>3</v>
      </c>
      <c r="F22" s="1">
        <v>3</v>
      </c>
      <c r="G22" s="1">
        <v>3</v>
      </c>
      <c r="H22" s="1">
        <v>3</v>
      </c>
      <c r="I22" s="1">
        <f t="shared" si="0"/>
        <v>3.1499999999999995</v>
      </c>
    </row>
    <row r="23" spans="1:9" ht="17" x14ac:dyDescent="0.2">
      <c r="A23" s="1" t="s">
        <v>211</v>
      </c>
      <c r="B23" s="1">
        <v>3</v>
      </c>
      <c r="C23" s="1">
        <v>3</v>
      </c>
      <c r="D23" s="1">
        <v>2</v>
      </c>
      <c r="E23" s="1">
        <v>5</v>
      </c>
      <c r="F23" s="1">
        <v>2</v>
      </c>
      <c r="G23" s="1">
        <v>3</v>
      </c>
      <c r="H23" s="1">
        <v>4</v>
      </c>
      <c r="I23" s="1">
        <f t="shared" si="0"/>
        <v>3.125</v>
      </c>
    </row>
    <row r="24" spans="1:9" ht="17" x14ac:dyDescent="0.2">
      <c r="A24" s="1" t="s">
        <v>212</v>
      </c>
      <c r="B24" s="1">
        <v>3</v>
      </c>
      <c r="C24" s="1">
        <v>4</v>
      </c>
      <c r="D24" s="1">
        <v>2</v>
      </c>
      <c r="E24" s="1">
        <v>4</v>
      </c>
      <c r="F24" s="1">
        <v>2</v>
      </c>
      <c r="G24" s="1">
        <v>3</v>
      </c>
      <c r="H24" s="1">
        <v>4</v>
      </c>
      <c r="I24" s="1">
        <f t="shared" si="0"/>
        <v>3.1249999999999996</v>
      </c>
    </row>
    <row r="25" spans="1:9" ht="17" x14ac:dyDescent="0.2">
      <c r="A25" s="1" t="s">
        <v>153</v>
      </c>
      <c r="B25" s="1">
        <v>3</v>
      </c>
      <c r="C25" s="1">
        <v>3</v>
      </c>
      <c r="D25" s="1">
        <v>1</v>
      </c>
      <c r="E25" s="1">
        <v>5</v>
      </c>
      <c r="F25" s="1">
        <v>1</v>
      </c>
      <c r="G25" s="1">
        <v>4</v>
      </c>
      <c r="H25" s="1">
        <v>5</v>
      </c>
      <c r="I25" s="1">
        <f t="shared" si="0"/>
        <v>3.0749999999999997</v>
      </c>
    </row>
    <row r="26" spans="1:9" ht="34" x14ac:dyDescent="0.2">
      <c r="A26" s="1" t="s">
        <v>213</v>
      </c>
      <c r="B26" s="1">
        <v>3</v>
      </c>
      <c r="C26" s="1">
        <v>4</v>
      </c>
      <c r="D26" s="1">
        <v>2</v>
      </c>
      <c r="E26" s="1">
        <v>4</v>
      </c>
      <c r="F26" s="1">
        <v>2</v>
      </c>
      <c r="G26" s="1">
        <v>3</v>
      </c>
      <c r="H26" s="1">
        <v>3</v>
      </c>
      <c r="I26" s="1">
        <f t="shared" si="0"/>
        <v>2.9999999999999996</v>
      </c>
    </row>
    <row r="27" spans="1:9" ht="17" x14ac:dyDescent="0.2">
      <c r="A27" s="1" t="s">
        <v>214</v>
      </c>
      <c r="B27" s="1">
        <v>3</v>
      </c>
      <c r="C27" s="1">
        <v>4</v>
      </c>
      <c r="D27" s="1">
        <v>2</v>
      </c>
      <c r="E27" s="1">
        <v>3</v>
      </c>
      <c r="F27" s="1">
        <v>2</v>
      </c>
      <c r="G27" s="1">
        <v>3</v>
      </c>
      <c r="H27" s="1">
        <v>3</v>
      </c>
      <c r="I27" s="1">
        <f t="shared" si="0"/>
        <v>2.8499999999999996</v>
      </c>
    </row>
    <row r="28" spans="1:9" ht="17" x14ac:dyDescent="0.2">
      <c r="A28" s="1" t="s">
        <v>94</v>
      </c>
      <c r="B28" s="1">
        <v>1</v>
      </c>
      <c r="C28" s="1">
        <v>2</v>
      </c>
      <c r="D28" s="1">
        <v>4</v>
      </c>
      <c r="E28" s="1">
        <v>3</v>
      </c>
      <c r="F28" s="1">
        <v>4</v>
      </c>
      <c r="G28" s="1">
        <v>3</v>
      </c>
      <c r="H28" s="1">
        <v>3</v>
      </c>
      <c r="I28" s="1">
        <f t="shared" si="0"/>
        <v>2.8499999999999996</v>
      </c>
    </row>
    <row r="29" spans="1:9" ht="34" x14ac:dyDescent="0.2">
      <c r="A29" s="1" t="s">
        <v>97</v>
      </c>
      <c r="B29" s="1">
        <v>2</v>
      </c>
      <c r="C29" s="1">
        <v>3</v>
      </c>
      <c r="D29" s="1">
        <v>3</v>
      </c>
      <c r="E29" s="1">
        <v>3</v>
      </c>
      <c r="F29" s="1">
        <v>3</v>
      </c>
      <c r="G29" s="1">
        <v>3</v>
      </c>
      <c r="H29" s="1">
        <v>3</v>
      </c>
      <c r="I29" s="1">
        <f t="shared" si="0"/>
        <v>2.8499999999999996</v>
      </c>
    </row>
    <row r="30" spans="1:9" ht="17" x14ac:dyDescent="0.2">
      <c r="A30" s="1" t="s">
        <v>215</v>
      </c>
      <c r="B30" s="1">
        <v>2</v>
      </c>
      <c r="C30" s="1">
        <v>3</v>
      </c>
      <c r="D30" s="1">
        <v>1</v>
      </c>
      <c r="E30" s="1">
        <v>5</v>
      </c>
      <c r="F30" s="1">
        <v>1</v>
      </c>
      <c r="G30" s="1">
        <v>4</v>
      </c>
      <c r="H30" s="1">
        <v>4</v>
      </c>
      <c r="I30" s="1">
        <f t="shared" si="0"/>
        <v>2.8</v>
      </c>
    </row>
    <row r="31" spans="1:9" ht="17" x14ac:dyDescent="0.2">
      <c r="A31" s="1" t="s">
        <v>216</v>
      </c>
      <c r="B31" s="1">
        <v>2</v>
      </c>
      <c r="C31" s="1">
        <v>2</v>
      </c>
      <c r="D31" s="1">
        <v>1</v>
      </c>
      <c r="E31" s="1">
        <v>5</v>
      </c>
      <c r="F31" s="1">
        <v>1</v>
      </c>
      <c r="G31" s="1">
        <v>3</v>
      </c>
      <c r="H31" s="1">
        <v>4</v>
      </c>
      <c r="I31" s="1">
        <f t="shared" si="0"/>
        <v>2.5249999999999999</v>
      </c>
    </row>
    <row r="32" spans="1:9" ht="17" x14ac:dyDescent="0.2">
      <c r="A32" s="1" t="s">
        <v>217</v>
      </c>
      <c r="B32" s="1">
        <v>2</v>
      </c>
      <c r="C32" s="1">
        <v>3</v>
      </c>
      <c r="D32" s="1">
        <v>3</v>
      </c>
      <c r="E32" s="1">
        <v>2</v>
      </c>
      <c r="F32" s="1">
        <v>3</v>
      </c>
      <c r="G32" s="1">
        <v>2</v>
      </c>
      <c r="H32" s="1">
        <v>2</v>
      </c>
      <c r="I32" s="1">
        <f t="shared" si="0"/>
        <v>2.4500000000000002</v>
      </c>
    </row>
    <row r="33" spans="1:9" ht="17" x14ac:dyDescent="0.2">
      <c r="A33" s="1" t="s">
        <v>84</v>
      </c>
      <c r="B33" s="1">
        <v>1</v>
      </c>
      <c r="C33" s="1">
        <v>2</v>
      </c>
      <c r="D33" s="1">
        <v>3</v>
      </c>
      <c r="E33" s="1">
        <v>2</v>
      </c>
      <c r="F33" s="1">
        <v>3</v>
      </c>
      <c r="G33" s="1">
        <v>3</v>
      </c>
      <c r="H33" s="1">
        <v>3</v>
      </c>
      <c r="I33" s="1">
        <f t="shared" si="0"/>
        <v>2.4</v>
      </c>
    </row>
    <row r="34" spans="1:9" ht="17" x14ac:dyDescent="0.2">
      <c r="A34" s="1" t="s">
        <v>89</v>
      </c>
      <c r="B34" s="1">
        <v>1</v>
      </c>
      <c r="C34" s="1">
        <v>2</v>
      </c>
      <c r="D34" s="1">
        <v>3</v>
      </c>
      <c r="E34" s="1">
        <v>2</v>
      </c>
      <c r="F34" s="1">
        <v>3</v>
      </c>
      <c r="G34" s="1">
        <v>3</v>
      </c>
      <c r="H34" s="1">
        <v>3</v>
      </c>
      <c r="I34" s="1">
        <f t="shared" si="0"/>
        <v>2.4</v>
      </c>
    </row>
    <row r="35" spans="1:9" ht="17" x14ac:dyDescent="0.2">
      <c r="A35" s="1" t="s">
        <v>71</v>
      </c>
      <c r="B35" s="1">
        <v>2</v>
      </c>
      <c r="C35" s="1">
        <v>3</v>
      </c>
      <c r="D35" s="1">
        <v>2</v>
      </c>
      <c r="E35" s="1">
        <v>2</v>
      </c>
      <c r="F35" s="1">
        <v>2</v>
      </c>
      <c r="G35" s="1">
        <v>2</v>
      </c>
      <c r="H35" s="1">
        <v>2</v>
      </c>
      <c r="I35" s="1">
        <f t="shared" si="0"/>
        <v>2.1500000000000004</v>
      </c>
    </row>
    <row r="36" spans="1:9" ht="17" x14ac:dyDescent="0.2">
      <c r="A36" s="1" t="s">
        <v>218</v>
      </c>
      <c r="B36" s="1">
        <v>2</v>
      </c>
      <c r="C36" s="1">
        <v>2</v>
      </c>
      <c r="D36" s="1">
        <v>1</v>
      </c>
      <c r="E36" s="1">
        <v>3</v>
      </c>
      <c r="F36" s="1">
        <v>1</v>
      </c>
      <c r="G36" s="1">
        <v>2</v>
      </c>
      <c r="H36" s="1">
        <v>2</v>
      </c>
      <c r="I36" s="1">
        <f t="shared" si="0"/>
        <v>1.8499999999999999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app</vt:lpstr>
      <vt:lpstr>web</vt:lpstr>
      <vt:lpstr>digital marketing</vt:lpstr>
      <vt:lpstr>SEO</vt:lpstr>
      <vt:lpstr>digital transformation</vt:lpstr>
      <vt:lpstr>scores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Sujashree Roy</dc:creator>
  <cp:lastModifiedBy>Sujashree Roy</cp:lastModifiedBy>
  <dcterms:created xsi:type="dcterms:W3CDTF">2026-05-26T07:44:28Z</dcterms:created>
  <dcterms:modified xsi:type="dcterms:W3CDTF">2026-05-27T08:09:08Z</dcterms:modified>
</cp:coreProperties>
</file>